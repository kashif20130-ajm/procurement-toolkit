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3cdf47905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67735fa2ee4ed1"/>
    <x:sheet xmlns:r="http://schemas.openxmlformats.org/officeDocument/2006/relationships" name="Contract Register" sheetId="2" r:id="R72127a4354ca4b38"/>
    <x:sheet xmlns:r="http://schemas.openxmlformats.org/officeDocument/2006/relationships" name="Intake Queue" sheetId="3" r:id="Reef6d330ac0f4c9a"/>
    <x:sheet xmlns:r="http://schemas.openxmlformats.org/officeDocument/2006/relationships" name="Obligation Tracker" sheetId="4" r:id="R39b55eac1f574a27"/>
    <x:sheet xmlns:r="http://schemas.openxmlformats.org/officeDocument/2006/relationships" name="Renewal Calendar" sheetId="5" r:id="Rdfa1fb7394e8497a"/>
    <x:sheet xmlns:r="http://schemas.openxmlformats.org/officeDocument/2006/relationships" name="Clause Playbook" sheetId="6" r:id="R9fd067e57195485b"/>
    <x:sheet xmlns:r="http://schemas.openxmlformats.org/officeDocument/2006/relationships" name="Procedure" sheetId="7" r:id="Rad397b7743ee478a"/>
    <x:sheet xmlns:r="http://schemas.openxmlformats.org/officeDocument/2006/relationships" name="Risk Matrix" sheetId="8" r:id="R48d5bf9346784baa"/>
    <x:sheet xmlns:r="http://schemas.openxmlformats.org/officeDocument/2006/relationships" name="Audit Checklist" sheetId="9" r:id="R3f4c23a73f4b4428"/>
    <x:sheet xmlns:r="http://schemas.openxmlformats.org/officeDocument/2006/relationships" name="Governance Framework" sheetId="10" r:id="R81707179b3c94b86"/>
    <x:sheet xmlns:r="http://schemas.openxmlformats.org/officeDocument/2006/relationships" name="KPI Framework" sheetId="11" r:id="R3424ea431a794cbe"/>
    <x:sheet xmlns:r="http://schemas.openxmlformats.org/officeDocument/2006/relationships" name="Change Management" sheetId="12" r:id="R3895c8ff2fec4d08"/>
    <x:sheet xmlns:r="http://schemas.openxmlformats.org/officeDocument/2006/relationships" name="Lists" sheetId="13" r:id="R2983b11e5d9f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yyyy-mm-dd"/>
    <x:numFmt numFmtId="202" formatCode="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0B25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1F4D78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7F1D1D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69e7a378d4268" /><Relationship Type="http://schemas.openxmlformats.org/officeDocument/2006/relationships/theme" Target="/xl/theme/theme1.xml" Id="R70cc96b026514916" /><Relationship Type="http://schemas.openxmlformats.org/officeDocument/2006/relationships/sharedStrings" Target="/xl/sharedStrings.xml" Id="Ra9cadffd366d4796" /><Relationship Type="http://schemas.openxmlformats.org/officeDocument/2006/relationships/worksheet" Target="/xl/worksheets/sheet1.xml" Id="Rcf67735fa2ee4ed1" /><Relationship Type="http://schemas.openxmlformats.org/officeDocument/2006/relationships/worksheet" Target="/xl/worksheets/sheet2.xml" Id="R72127a4354ca4b38" /><Relationship Type="http://schemas.openxmlformats.org/officeDocument/2006/relationships/worksheet" Target="/xl/worksheets/sheet3.xml" Id="Reef6d330ac0f4c9a" /><Relationship Type="http://schemas.openxmlformats.org/officeDocument/2006/relationships/worksheet" Target="/xl/worksheets/sheet4.xml" Id="R39b55eac1f574a27" /><Relationship Type="http://schemas.openxmlformats.org/officeDocument/2006/relationships/worksheet" Target="/xl/worksheets/sheet5.xml" Id="Rdfa1fb7394e8497a" /><Relationship Type="http://schemas.openxmlformats.org/officeDocument/2006/relationships/worksheet" Target="/xl/worksheets/sheet6.xml" Id="R9fd067e57195485b" /><Relationship Type="http://schemas.openxmlformats.org/officeDocument/2006/relationships/worksheet" Target="/xl/worksheets/sheet7.xml" Id="Rad397b7743ee478a" /><Relationship Type="http://schemas.openxmlformats.org/officeDocument/2006/relationships/worksheet" Target="/xl/worksheets/sheet8.xml" Id="R48d5bf9346784baa" /><Relationship Type="http://schemas.openxmlformats.org/officeDocument/2006/relationships/worksheet" Target="/xl/worksheets/sheet9.xml" Id="R3f4c23a73f4b4428" /><Relationship Type="http://schemas.openxmlformats.org/officeDocument/2006/relationships/worksheet" Target="/xl/worksheets/sheet10.xml" Id="R81707179b3c94b86" /><Relationship Type="http://schemas.openxmlformats.org/officeDocument/2006/relationships/worksheet" Target="/xl/worksheets/sheet11.xml" Id="R3424ea431a794cbe" /><Relationship Type="http://schemas.openxmlformats.org/officeDocument/2006/relationships/worksheet" Target="/xl/worksheets/sheet12.xml" Id="R3895c8ff2fec4d08" /><Relationship Type="http://schemas.openxmlformats.org/officeDocument/2006/relationships/worksheet" Target="/xl/worksheets/sheet13.xml" Id="R2983b11e5d9f41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8cb2b261ea4dcb" /><Relationship Type="http://schemas.openxmlformats.org/officeDocument/2006/relationships/chart" Target="/xl/drawings/charts/chart2.xml" Id="R9bc7ed2e08d646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Contracts by Risk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Renewal Action Queue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'Dashboard'!$G$5:$G$7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8cb2b261ea4dcb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c7ed2e08d646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actRegister" displayName="ContractRegister" ref="A4:O204" headerRowCount="1">
  <x:tableColumns count="15">
    <x:tableColumn id="1" name="Contract ID"/>
    <x:tableColumn id="2" name="Counterparty"/>
    <x:tableColumn id="3" name="Type"/>
    <x:tableColumn id="4" name="Business Owner"/>
    <x:tableColumn id="5" name="Status"/>
    <x:tableColumn id="6" name="Risk"/>
    <x:tableColumn id="7" name="TCV"/>
    <x:tableColumn id="8" name="Effective Date"/>
    <x:tableColumn id="9" name="End Date"/>
    <x:tableColumn id="10" name="Renewal Notice Date"/>
    <x:tableColumn id="11" name="Days to Notice"/>
    <x:tableColumn id="12" name="Auto Renew?"/>
    <x:tableColumn id="13" name="Data Involved?"/>
    <x:tableColumn id="14" name="Signed Copy Link"/>
    <x:tableColumn id="15" name="Key Notes"/>
  </x:tableColumns>
  <x:tableStyleInfo name="TableStyleMedium2" showRowStripes="1"/>
</x:table>
</file>

<file path=xl/tables/table2.xml><?xml version="1.0" encoding="utf-8"?>
<x:table xmlns:x="http://schemas.openxmlformats.org/spreadsheetml/2006/main" id="2" name="IntakeQueue" displayName="IntakeQueue" ref="A4:L104" headerRowCount="1">
  <x:tableColumns count="12">
    <x:tableColumn id="1" name="Request ID"/>
    <x:tableColumn id="2" name="Submitted"/>
    <x:tableColumn id="3" name="Requester"/>
    <x:tableColumn id="4" name="Counterparty"/>
    <x:tableColumn id="5" name="Type"/>
    <x:tableColumn id="6" name="Target Signature"/>
    <x:tableColumn id="7" name="Value"/>
    <x:tableColumn id="8" name="Data?"/>
    <x:tableColumn id="9" name="Non-Standard Terms"/>
    <x:tableColumn id="10" name="Review Lane"/>
    <x:tableColumn id="11" name="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bligations" displayName="Obligations" ref="A4:J204" headerRowCount="1">
  <x:tableColumns count="10">
    <x:tableColumn id="1" name="Obligation ID"/>
    <x:tableColumn id="2" name="Contract ID"/>
    <x:tableColumn id="3" name="Clause Ref"/>
    <x:tableColumn id="4" name="Obligation"/>
    <x:tableColumn id="5" name="Owner"/>
    <x:tableColumn id="6" name="Frequency"/>
    <x:tableColumn id="7" name="Due Date"/>
    <x:tableColumn id="8" name="Status"/>
    <x:tableColumn id="9" name="Days Left"/>
    <x:tableColumn id="10" name="Evidence / Notes"/>
  </x:tableColumns>
  <x:tableStyleInfo name="TableStyleMedium2" showRowStripes="1"/>
</x:table>
</file>

<file path=xl/tables/table4.xml><?xml version="1.0" encoding="utf-8"?>
<x:table xmlns:x="http://schemas.openxmlformats.org/spreadsheetml/2006/main" id="4" name="ClausePlaybook" displayName="ClausePlaybook" ref="A4:D104" headerRowCount="1">
  <x:tableColumns count="4">
    <x:tableColumn id="1" name="Clause"/>
    <x:tableColumn id="2" name="Preferred Position"/>
    <x:tableColumn id="3" name="Fallback"/>
    <x:tableColumn id="4" name="Escalate When"/>
  </x:tableColumns>
  <x:tableStyleInfo name="TableStyleMedium2" showRowStripes="1"/>
</x:table>
</file>

<file path=xl/tables/table5.xml><?xml version="1.0" encoding="utf-8"?>
<x:table xmlns:x="http://schemas.openxmlformats.org/spreadsheetml/2006/main" id="5" name="ContractProcedure" displayName="ContractProcedure" ref="A4:F104" headerRowCount="1">
  <x:tableColumns count="6">
    <x:tableColumn id="1" name="Step"/>
    <x:tableColumn id="2" name="Stage"/>
    <x:tableColumn id="3" name="Owner"/>
    <x:tableColumn id="4" name="Required Inputs"/>
    <x:tableColumn id="5" name="Output / Evidence"/>
    <x:tableColumn id="6" name="Control Point"/>
  </x:tableColumns>
  <x:tableStyleInfo name="TableStyleMedium2" showRowStripes="1"/>
</x:table>
</file>

<file path=xl/tables/table6.xml><?xml version="1.0" encoding="utf-8"?>
<x:table xmlns:x="http://schemas.openxmlformats.org/spreadsheetml/2006/main" id="6" name="RiskMatrix" displayName="RiskMatrix" ref="A4:G104" headerRowCount="1">
  <x:tableColumns count="7">
    <x:tableColumn id="1" name="Contract ID"/>
    <x:tableColumn id="2" name="Counterparty"/>
    <x:tableColumn id="3" name="Value"/>
    <x:tableColumn id="4" name="Data"/>
    <x:tableColumn id="5" name="Liability"/>
    <x:tableColumn id="6" name="Criticality"/>
    <x:tableColumn id="7" name="Suggested Risk"/>
  </x:tableColumns>
  <x:tableStyleInfo name="TableStyleMedium2" showRowStripes="1"/>
</x:table>
</file>

<file path=xl/tables/table7.xml><?xml version="1.0" encoding="utf-8"?>
<x:table xmlns:x="http://schemas.openxmlformats.org/spreadsheetml/2006/main" id="7" name="AuditChecklist" displayName="AuditChecklist" ref="A4:G104" headerRowCount="1">
  <x:tableColumns count="7">
    <x:tableColumn id="1" name="Audit ID"/>
    <x:tableColumn id="2" name="Contract ID"/>
    <x:tableColumn id="3" name="Audit Area"/>
    <x:tableColumn id="4" name="Evidence Required"/>
    <x:tableColumn id="5" name="Owner"/>
    <x:tableColumn id="6" name="Status"/>
    <x:tableColumn id="7" name="Findings / Action"/>
  </x:tableColumns>
  <x:tableStyleInfo name="TableStyleMedium2" showRowStripes="1"/>
</x:table>
</file>

<file path=xl/tables/table8.xml><?xml version="1.0" encoding="utf-8"?>
<x:table xmlns:x="http://schemas.openxmlformats.org/spreadsheetml/2006/main" id="8" name="GovernanceFramework" displayName="GovernanceFramework" ref="A4:F104" headerRowCount="1">
  <x:tableColumns count="6">
    <x:tableColumn id="1" name="Governance Layer"/>
    <x:tableColumn id="2" name="Accountable Role"/>
    <x:tableColumn id="3" name="Decision Rights"/>
    <x:tableColumn id="4" name="Cadence"/>
    <x:tableColumn id="5" name="Escalation Trigger"/>
    <x:tableColumn id="6" name="Evidence"/>
  </x:tableColumns>
  <x:tableStyleInfo name="TableStyleMedium2" showRowStripes="1"/>
</x:table>
</file>

<file path=xl/tables/table9.xml><?xml version="1.0" encoding="utf-8"?>
<x:table xmlns:x="http://schemas.openxmlformats.org/spreadsheetml/2006/main" id="9" name="KPIFramework" displayName="KPIFramework" ref="A4:G104" headerRowCount="1">
  <x:tableColumns count="7">
    <x:tableColumn id="1" name="KPI"/>
    <x:tableColumn id="2" name="Definition"/>
    <x:tableColumn id="3" name="Source"/>
    <x:tableColumn id="4" name="Target"/>
    <x:tableColumn id="5" name="Current"/>
    <x:tableColumn id="6" name="Status"/>
    <x:tableColumn id="7" name="Action"/>
  </x:tableColumns>
  <x:tableStyleInfo name="TableStyleMedium2" showRowStripes="1"/>
</x:table>
</file>

<file path=xl/tables/table10.xml><?xml version="1.0" encoding="utf-8"?>
<x:table xmlns:x="http://schemas.openxmlformats.org/spreadsheetml/2006/main" id="10" name="ChangeManagement" displayName="ChangeManagement" ref="A4:K104" headerRowCount="1">
  <x:tableColumns count="11">
    <x:tableColumn id="1" name="Change ID"/>
    <x:tableColumn id="2" name="Contract ID"/>
    <x:tableColumn id="3" name="Change Type"/>
    <x:tableColumn id="4" name="Original Value"/>
    <x:tableColumn id="5" name="Cumulative Variation"/>
    <x:tableColumn id="6" name="Variation %"/>
    <x:tableColumn id="7" name="DoA Re-approval?"/>
    <x:tableColumn id="8" name="Addendum Required?"/>
    <x:tableColumn id="9" name="Etimad / Client Approval?"/>
    <x:tableColumn id="10" name="Status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05442efd6a46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fba4d9d638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728126a29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358484d774c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bdcb71037f45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6e4ade7ea34a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86e88ebb9a144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6271d87ec647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5fcb57e48ee45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3d160a3d4c4e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c5a8236bee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23.75" hidden="0" customWidth="1"/>
    <x:col min="8" max="8" width="18.75" hidden="0" customWidth="1"/>
  </x:cols>
  <x:sheetData>
    <x:row r="1" ht="25.5" customHeight="1">
      <x:c r="A1" s="2" t="str">
        <x:v>Contract Management Dashboard</x:v>
      </x:c>
    </x:row>
    <x:row r="2">
      <x:c r="A2" s="10" t="str">
        <x:v>Live summary from the register and obligation tracker.</x:v>
      </x:c>
    </x:row>
    <x:row r="4">
      <x:c r="A4" s="6" t="str">
        <x:v>Metric</x:v>
      </x:c>
      <x:c r="B4" s="6" t="str">
        <x:v>Value</x:v>
      </x:c>
      <x:c r="C4" t="str"/>
      <x:c r="D4" s="6" t="str">
        <x:v>Risk Mix</x:v>
      </x:c>
      <x:c r="E4" s="6" t="str">
        <x:v>Count</x:v>
      </x:c>
      <x:c r="F4" t="str"/>
      <x:c r="G4" s="6" t="str">
        <x:v>Renewal Alerts</x:v>
      </x:c>
      <x:c r="H4" s="6" t="str">
        <x:v>Count</x:v>
      </x:c>
    </x:row>
    <x:row r="5">
      <x:c r="A5" s="8" t="str">
        <x:v>Active Contracts</x:v>
      </x:c>
      <x:c r="B5" s="8" t="n">
        <x:f>COUNTIF('Contract Register'!E5:E204,"Active")</x:f>
        <x:v>2</x:v>
      </x:c>
      <x:c r="D5" s="8" t="str">
        <x:v>Low</x:v>
      </x:c>
      <x:c r="E5" s="8" t="n">
        <x:f>COUNTIF('Contract Register'!F5:F204,D5)</x:f>
        <x:v>2</x:v>
      </x:c>
      <x:c r="G5" s="8" t="str">
        <x:v>Escalate now</x:v>
      </x:c>
      <x:c r="H5" s="8" t="n">
        <x:f>COUNTIF('Renewal Calendar'!H5:H204,"Escalate now")</x:f>
        <x:v>0</x:v>
      </x:c>
    </x:row>
    <x:row r="6">
      <x:c r="A6" s="8" t="str">
        <x:v>In Review / Negotiating</x:v>
      </x:c>
      <x:c r="B6" s="8" t="n">
        <x:f>COUNTIF('Contract Register'!E5:E204,"In Review")+COUNTIF('Contract Register'!E5:E204,"Negotiating")</x:f>
        <x:v>2</x:v>
      </x:c>
      <x:c r="D6" s="8" t="str">
        <x:v>Medium</x:v>
      </x:c>
      <x:c r="E6" s="8" t="n">
        <x:f>COUNTIF('Contract Register'!F5:F204,D6)</x:f>
        <x:v>1</x:v>
      </x:c>
      <x:c r="G6" s="8" t="str">
        <x:v>Prepare decision</x:v>
      </x:c>
      <x:c r="H6" s="8" t="n">
        <x:f>COUNTIF('Renewal Calendar'!H5:H204,"Prepare renewal decision")</x:f>
        <x:v>0</x:v>
      </x:c>
    </x:row>
    <x:row r="7">
      <x:c r="A7" s="8" t="str">
        <x:v>Total Contract Value</x:v>
      </x:c>
      <x:c r="B7" s="11" t="n">
        <x:f>SUM('Contract Register'!G5:G204)</x:f>
        <x:v>377000</x:v>
      </x:c>
      <x:c r="D7" s="8" t="str">
        <x:v>High</x:v>
      </x:c>
      <x:c r="E7" s="8" t="n">
        <x:f>COUNTIF('Contract Register'!F5:F204,D7)</x:f>
        <x:v>2</x:v>
      </x:c>
      <x:c r="G7" s="8" t="str">
        <x:v>Monitor</x:v>
      </x:c>
      <x:c r="H7" s="8" t="n">
        <x:f>COUNTIF('Renewal Calendar'!H5:H204,"Monitor")</x:f>
        <x:v>5</x:v>
      </x:c>
    </x:row>
    <x:row r="8">
      <x:c r="A8" s="8" t="str">
        <x:v>Renewals &lt;= 30 Days</x:v>
      </x:c>
      <x:c r="B8" s="8" t="n">
        <x:f>COUNTIFS('Contract Register'!A5:A204,"&lt;&gt;",'Contract Register'!K5:K204,"&lt;=30",'Contract Register'!K5:K204,"&gt;=0")</x:f>
        <x:v>0</x:v>
      </x:c>
      <x:c r="D8" s="8" t="str">
        <x:v>Critical</x:v>
      </x:c>
      <x:c r="E8" s="8" t="n">
        <x:f>COUNTIF('Contract Register'!F5:F204,D8)</x:f>
        <x:v>0</x:v>
      </x:c>
    </x:row>
    <x:row r="9">
      <x:c r="A9" s="8" t="str">
        <x:v>Renewals &lt;= 90 Days</x:v>
      </x:c>
      <x:c r="B9" s="8" t="n">
        <x:f>COUNTIFS('Contract Register'!A5:A204,"&lt;&gt;",'Contract Register'!K5:K204,"&lt;=90",'Contract Register'!K5:K204,"&gt;=0")</x:f>
        <x:v>0</x:v>
      </x:c>
    </x:row>
    <x:row r="10">
      <x:c r="A10" s="8" t="str">
        <x:v>Open Obligations</x:v>
      </x:c>
      <x:c r="B10" s="8" t="n">
        <x:f>COUNTIF('Obligation Tracker'!H5:H204,"Open")+COUNTIF('Obligation Tracker'!H5:H204,"In Progress")+COUNTIF('Obligation Tracker'!H5:H204,"Blocked")</x:f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405442efd6a46f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32.5" hidden="0" customWidth="1"/>
  </x:cols>
  <x:sheetData>
    <x:row r="1" ht="25.5" customHeight="1">
      <x:c r="A1" s="2" t="str">
        <x:v>Contract Register</x:v>
      </x:c>
    </x:row>
    <x:row r="2">
      <x:c r="A2" s="10" t="str">
        <x:v>Single source of truth for signed and in-flight agreements.</x:v>
      </x:c>
    </x:row>
    <x:row r="4">
      <x:c r="A4" s="6" t="str">
        <x:v>Contract ID</x:v>
      </x:c>
      <x:c r="B4" s="6" t="str">
        <x:v>Counterparty</x:v>
      </x:c>
      <x:c r="C4" s="6" t="str">
        <x:v>Type</x:v>
      </x:c>
      <x:c r="D4" s="6" t="str">
        <x:v>Business Owner</x:v>
      </x:c>
      <x:c r="E4" s="6" t="str">
        <x:v>Status</x:v>
      </x:c>
      <x:c r="F4" s="6" t="str">
        <x:v>Risk</x:v>
      </x:c>
      <x:c r="G4" s="6" t="str">
        <x:v>TCV</x:v>
      </x:c>
      <x:c r="H4" s="6" t="str">
        <x:v>Effective Date</x:v>
      </x:c>
      <x:c r="I4" s="6" t="str">
        <x:v>End Date</x:v>
      </x:c>
      <x:c r="J4" s="6" t="str">
        <x:v>Renewal Notice Date</x:v>
      </x:c>
      <x:c r="K4" s="6" t="str">
        <x:v>Days to Notice</x:v>
      </x:c>
      <x:c r="L4" s="6" t="str">
        <x:v>Auto Renew?</x:v>
      </x:c>
      <x:c r="M4" s="6" t="str">
        <x:v>Data Involved?</x:v>
      </x:c>
      <x:c r="N4" s="6" t="str">
        <x:v>Signed Copy Link</x:v>
      </x:c>
      <x:c r="O4" s="6" t="str">
        <x:v>Key Notes</x:v>
      </x:c>
    </x:row>
    <x:row r="5">
      <x:c r="A5" s="8" t="str">
        <x:v>CT-001</x:v>
      </x:c>
      <x:c r="B5" s="8" t="str">
        <x:v>Northwind Systems LLC</x:v>
      </x:c>
      <x:c r="C5" s="8" t="str">
        <x:v>MSA</x:v>
      </x:c>
      <x:c r="D5" s="8" t="str">
        <x:v>Sales Ops</x:v>
      </x:c>
      <x:c r="E5" s="8" t="str">
        <x:v>Active</x:v>
      </x:c>
      <x:c r="F5" s="8" t="str">
        <x:v>Medium</x:v>
      </x:c>
      <x:c r="G5" s="11" t="n">
        <x:v>125000</x:v>
      </x:c>
      <x:c r="H5" s="12" t="n">
        <x:v>46037</x:v>
      </x:c>
      <x:c r="I5" s="12" t="n">
        <x:v>46401</x:v>
      </x:c>
      <x:c r="J5" s="12" t="n">
        <x:v>46341</x:v>
      </x:c>
      <x:c r="K5" s="13" t="n">
        <x:f>IF(J5="","",J5-TODAY())</x:f>
        <x:v>153</x:v>
      </x:c>
      <x:c r="L5" s="8" t="str">
        <x:v>Yes</x:v>
      </x:c>
      <x:c r="M5" s="8" t="str">
        <x:v>Yes</x:v>
      </x:c>
      <x:c r="N5" s="8" t="str">
        <x:v>Add link</x:v>
      </x:c>
      <x:c r="O5" s="8" t="str">
        <x:v>Customer paper with liability cap accepted.</x:v>
      </x:c>
    </x:row>
    <x:row r="6">
      <x:c r="A6" s="8" t="str">
        <x:v>CT-002</x:v>
      </x:c>
      <x:c r="B6" s="8" t="str">
        <x:v>Blue Harbor Data</x:v>
      </x:c>
      <x:c r="C6" s="8" t="str">
        <x:v>DPA</x:v>
      </x:c>
      <x:c r="D6" s="8" t="str">
        <x:v>Security</x:v>
      </x:c>
      <x:c r="E6" s="8" t="str">
        <x:v>In Review</x:v>
      </x:c>
      <x:c r="F6" s="8" t="str">
        <x:v>High</x:v>
      </x:c>
      <x:c r="G6" s="11" t="n">
        <x:v>0</x:v>
      </x:c>
      <x:c r="H6" s="12" t="n">
        <x:v>46174</x:v>
      </x:c>
      <x:c r="I6" s="12" t="n">
        <x:v>46538</x:v>
      </x:c>
      <x:c r="J6" s="12" t="n">
        <x:v>46477</x:v>
      </x:c>
      <x:c r="K6" s="13" t="n">
        <x:f>IF(J6="","",J6-TODAY())</x:f>
        <x:v>289</x:v>
      </x:c>
      <x:c r="L6" s="8" t="str">
        <x:v>No</x:v>
      </x:c>
      <x:c r="M6" s="8" t="str">
        <x:v>Yes</x:v>
      </x:c>
      <x:c r="N6" s="8" t="str">
        <x:v>Add link</x:v>
      </x:c>
      <x:c r="O6" s="8" t="str">
        <x:v>Privacy review open.</x:v>
      </x:c>
    </x:row>
    <x:row r="7">
      <x:c r="A7" s="8" t="str">
        <x:v>CT-003</x:v>
      </x:c>
      <x:c r="B7" s="8" t="str">
        <x:v>Greenline Supplies</x:v>
      </x:c>
      <x:c r="C7" s="8" t="str">
        <x:v>Vendor Agreement</x:v>
      </x:c>
      <x:c r="D7" s="8" t="str">
        <x:v>Operations</x:v>
      </x:c>
      <x:c r="E7" s="8" t="str">
        <x:v>Active</x:v>
      </x:c>
      <x:c r="F7" s="8" t="str">
        <x:v>Low</x:v>
      </x:c>
      <x:c r="G7" s="11" t="n">
        <x:v>42000</x:v>
      </x:c>
      <x:c r="H7" s="12" t="n">
        <x:v>46082</x:v>
      </x:c>
      <x:c r="I7" s="12" t="n">
        <x:v>46446</x:v>
      </x:c>
      <x:c r="J7" s="12" t="n">
        <x:v>46386</x:v>
      </x:c>
      <x:c r="K7" s="13" t="n">
        <x:f>IF(J7="","",J7-TODAY())</x:f>
        <x:v>198</x:v>
      </x:c>
      <x:c r="L7" s="8" t="str">
        <x:v>Yes</x:v>
      </x:c>
      <x:c r="M7" s="8" t="str">
        <x:v>No</x:v>
      </x:c>
      <x:c r="N7" s="8" t="str">
        <x:v>Add link</x:v>
      </x:c>
      <x:c r="O7" s="8" t="str">
        <x:v>Annual price adjustment capped at 5%.</x:v>
      </x:c>
    </x:row>
    <x:row r="8">
      <x:c r="A8" s="8" t="str">
        <x:v>CT-004</x:v>
      </x:c>
      <x:c r="B8" s="8" t="str">
        <x:v>Acme Retail Group</x:v>
      </x:c>
      <x:c r="C8" s="8" t="str">
        <x:v>SOW</x:v>
      </x:c>
      <x:c r="D8" s="8" t="str">
        <x:v>Customer Success</x:v>
      </x:c>
      <x:c r="E8" s="8" t="str">
        <x:v>Negotiating</x:v>
      </x:c>
      <x:c r="F8" s="8" t="str">
        <x:v>High</x:v>
      </x:c>
      <x:c r="G8" s="11" t="n">
        <x:v>210000</x:v>
      </x:c>
      <x:c r="H8" s="12" t="n">
        <x:v>46204</x:v>
      </x:c>
      <x:c r="I8" s="12" t="n">
        <x:v>46568</x:v>
      </x:c>
      <x:c r="J8" s="12" t="n">
        <x:v>46507</x:v>
      </x:c>
      <x:c r="K8" s="13" t="n">
        <x:f>IF(J8="","",J8-TODAY())</x:f>
        <x:v>319</x:v>
      </x:c>
      <x:c r="L8" s="8" t="str">
        <x:v>No</x:v>
      </x:c>
      <x:c r="M8" s="8" t="str">
        <x:v>Yes</x:v>
      </x:c>
      <x:c r="N8" s="8" t="str">
        <x:v>Add link</x:v>
      </x:c>
      <x:c r="O8" s="8" t="str">
        <x:v>Open issue: service credits and acceptance.</x:v>
      </x:c>
    </x:row>
    <x:row r="9">
      <x:c r="A9" s="8" t="str">
        <x:v>CT-005</x:v>
      </x:c>
      <x:c r="B9" s="8" t="str">
        <x:v>BrightPath Partners</x:v>
      </x:c>
      <x:c r="C9" s="8" t="str">
        <x:v>NDA</x:v>
      </x:c>
      <x:c r="D9" s="8" t="str">
        <x:v>Partnerships</x:v>
      </x:c>
      <x:c r="E9" s="8" t="str">
        <x:v>Pending Signature</x:v>
      </x:c>
      <x:c r="F9" s="8" t="str">
        <x:v>Low</x:v>
      </x:c>
      <x:c r="G9" s="11" t="n">
        <x:v>0</x:v>
      </x:c>
      <x:c r="H9" s="12" t="n">
        <x:v>46193</x:v>
      </x:c>
      <x:c r="I9" s="12" t="n">
        <x:v>46923</x:v>
      </x:c>
      <x:c r="J9" s="12" t="n">
        <x:v>46863</x:v>
      </x:c>
      <x:c r="K9" s="13" t="n">
        <x:f>IF(J9="","",J9-TODAY())</x:f>
        <x:v>675</x:v>
      </x:c>
      <x:c r="L9" s="8" t="str">
        <x:v>No</x:v>
      </x:c>
      <x:c r="M9" s="8" t="str">
        <x:v>No</x:v>
      </x:c>
      <x:c r="N9" s="8" t="str">
        <x:v>Add link</x:v>
      </x:c>
      <x:c r="O9" s="8" t="str">
        <x:v>Mutual NDA.</x:v>
      </x:c>
    </x:row>
    <x:row r="10">
      <x:c r="A10" s="8"/>
      <x:c r="B10" s="8"/>
      <x:c r="C10" s="8"/>
      <x:c r="D10" s="8"/>
      <x:c r="E10" s="8"/>
      <x:c r="F10" s="8"/>
      <x:c r="G10" s="11"/>
      <x:c r="H10" s="12"/>
      <x:c r="I10" s="12"/>
      <x:c r="J10" s="12"/>
      <x:c r="K10" s="13" t="str">
        <x:f>IF(J10="","",J10-TODAY())</x:f>
      </x:c>
      <x:c r="L10" s="8"/>
      <x:c r="M10" s="8"/>
      <x:c r="N10" s="8"/>
      <x:c r="O10" s="8"/>
    </x:row>
    <x:row r="11">
      <x:c r="A11" s="8"/>
      <x:c r="B11" s="8"/>
      <x:c r="C11" s="8"/>
      <x:c r="D11" s="8"/>
      <x:c r="E11" s="8"/>
      <x:c r="F11" s="8"/>
      <x:c r="G11" s="11"/>
      <x:c r="H11" s="12"/>
      <x:c r="I11" s="12"/>
      <x:c r="J11" s="12"/>
      <x:c r="K11" s="13" t="str">
        <x:f>IF(J11="","",J11-TODAY())</x:f>
      </x:c>
      <x:c r="L11" s="8"/>
      <x:c r="M11" s="8"/>
      <x:c r="N11" s="8"/>
      <x:c r="O11" s="8"/>
    </x:row>
    <x:row r="12">
      <x:c r="A12" s="8"/>
      <x:c r="B12" s="8"/>
      <x:c r="C12" s="8"/>
      <x:c r="D12" s="8"/>
      <x:c r="E12" s="8"/>
      <x:c r="F12" s="8"/>
      <x:c r="G12" s="11"/>
      <x:c r="H12" s="12"/>
      <x:c r="I12" s="12"/>
      <x:c r="J12" s="12"/>
      <x:c r="K12" s="13" t="str">
        <x:f>IF(J12="","",J12-TODAY())</x:f>
      </x:c>
      <x:c r="L12" s="8"/>
      <x:c r="M12" s="8"/>
      <x:c r="N12" s="8"/>
      <x:c r="O12" s="8"/>
    </x:row>
    <x:row r="13">
      <x:c r="A13" s="8"/>
      <x:c r="B13" s="8"/>
      <x:c r="C13" s="8"/>
      <x:c r="D13" s="8"/>
      <x:c r="E13" s="8"/>
      <x:c r="F13" s="8"/>
      <x:c r="G13" s="11"/>
      <x:c r="H13" s="12"/>
      <x:c r="I13" s="12"/>
      <x:c r="J13" s="12"/>
      <x:c r="K13" s="13" t="str">
        <x:f>IF(J13="","",J13-TODAY())</x:f>
      </x:c>
      <x:c r="L13" s="8"/>
      <x:c r="M13" s="8"/>
      <x:c r="N13" s="8"/>
      <x:c r="O13" s="8"/>
    </x:row>
    <x:row r="14">
      <x:c r="A14" s="8"/>
      <x:c r="B14" s="8"/>
      <x:c r="C14" s="8"/>
      <x:c r="D14" s="8"/>
      <x:c r="E14" s="8"/>
      <x:c r="F14" s="8"/>
      <x:c r="G14" s="11"/>
      <x:c r="H14" s="12"/>
      <x:c r="I14" s="12"/>
      <x:c r="J14" s="12"/>
      <x:c r="K14" s="13" t="str">
        <x:f>IF(J14="","",J14-TODAY())</x:f>
      </x:c>
      <x:c r="L14" s="8"/>
      <x:c r="M14" s="8"/>
      <x:c r="N14" s="8"/>
      <x:c r="O14" s="8"/>
    </x:row>
    <x:row r="15">
      <x:c r="A15" s="8"/>
      <x:c r="B15" s="8"/>
      <x:c r="C15" s="8"/>
      <x:c r="D15" s="8"/>
      <x:c r="E15" s="8"/>
      <x:c r="F15" s="8"/>
      <x:c r="G15" s="11"/>
      <x:c r="H15" s="12"/>
      <x:c r="I15" s="12"/>
      <x:c r="J15" s="12"/>
      <x:c r="K15" s="13" t="str">
        <x:f>IF(J15="","",J15-TODAY())</x:f>
      </x:c>
      <x:c r="L15" s="8"/>
      <x:c r="M15" s="8"/>
      <x:c r="N15" s="8"/>
      <x:c r="O15" s="8"/>
    </x:row>
    <x:row r="16">
      <x:c r="A16" s="8"/>
      <x:c r="B16" s="8"/>
      <x:c r="C16" s="8"/>
      <x:c r="D16" s="8"/>
      <x:c r="E16" s="8"/>
      <x:c r="F16" s="8"/>
      <x:c r="G16" s="11"/>
      <x:c r="H16" s="12"/>
      <x:c r="I16" s="12"/>
      <x:c r="J16" s="12"/>
      <x:c r="K16" s="13" t="str">
        <x:f>IF(J16="","",J16-TODAY())</x:f>
      </x:c>
      <x:c r="L16" s="8"/>
      <x:c r="M16" s="8"/>
      <x:c r="N16" s="8"/>
      <x:c r="O16" s="8"/>
    </x:row>
    <x:row r="17">
      <x:c r="A17" s="8"/>
      <x:c r="B17" s="8"/>
      <x:c r="C17" s="8"/>
      <x:c r="D17" s="8"/>
      <x:c r="E17" s="8"/>
      <x:c r="F17" s="8"/>
      <x:c r="G17" s="11"/>
      <x:c r="H17" s="12"/>
      <x:c r="I17" s="12"/>
      <x:c r="J17" s="12"/>
      <x:c r="K17" s="13" t="str">
        <x:f>IF(J17="","",J17-TODAY())</x:f>
      </x:c>
      <x:c r="L17" s="8"/>
      <x:c r="M17" s="8"/>
      <x:c r="N17" s="8"/>
      <x:c r="O17" s="8"/>
    </x:row>
    <x:row r="18">
      <x:c r="A18" s="8"/>
      <x:c r="B18" s="8"/>
      <x:c r="C18" s="8"/>
      <x:c r="D18" s="8"/>
      <x:c r="E18" s="8"/>
      <x:c r="F18" s="8"/>
      <x:c r="G18" s="11"/>
      <x:c r="H18" s="12"/>
      <x:c r="I18" s="12"/>
      <x:c r="J18" s="12"/>
      <x:c r="K18" s="13" t="str">
        <x:f>IF(J18="","",J18-TODAY())</x:f>
      </x:c>
      <x:c r="L18" s="8"/>
      <x:c r="M18" s="8"/>
      <x:c r="N18" s="8"/>
      <x:c r="O18" s="8"/>
    </x:row>
    <x:row r="19">
      <x:c r="A19" s="8"/>
      <x:c r="B19" s="8"/>
      <x:c r="C19" s="8"/>
      <x:c r="D19" s="8"/>
      <x:c r="E19" s="8"/>
      <x:c r="F19" s="8"/>
      <x:c r="G19" s="11"/>
      <x:c r="H19" s="12"/>
      <x:c r="I19" s="12"/>
      <x:c r="J19" s="12"/>
      <x:c r="K19" s="13" t="str">
        <x:f>IF(J19="","",J19-TODAY())</x:f>
      </x:c>
      <x:c r="L19" s="8"/>
      <x:c r="M19" s="8"/>
      <x:c r="N19" s="8"/>
      <x:c r="O19" s="8"/>
    </x:row>
    <x:row r="20">
      <x:c r="A20" s="8"/>
      <x:c r="B20" s="8"/>
      <x:c r="C20" s="8"/>
      <x:c r="D20" s="8"/>
      <x:c r="E20" s="8"/>
      <x:c r="F20" s="8"/>
      <x:c r="G20" s="11"/>
      <x:c r="H20" s="12"/>
      <x:c r="I20" s="12"/>
      <x:c r="J20" s="12"/>
      <x:c r="K20" s="13" t="str">
        <x:f>IF(J20="","",J20-TODAY())</x:f>
      </x:c>
      <x:c r="L20" s="8"/>
      <x:c r="M20" s="8"/>
      <x:c r="N20" s="8"/>
      <x:c r="O20" s="8"/>
    </x:row>
    <x:row r="21">
      <x:c r="A21" s="8"/>
      <x:c r="B21" s="8"/>
      <x:c r="C21" s="8"/>
      <x:c r="D21" s="8"/>
      <x:c r="E21" s="8"/>
      <x:c r="F21" s="8"/>
      <x:c r="G21" s="11"/>
      <x:c r="H21" s="12"/>
      <x:c r="I21" s="12"/>
      <x:c r="J21" s="12"/>
      <x:c r="K21" s="13" t="str">
        <x:f>IF(J21="","",J21-TODAY())</x:f>
      </x:c>
      <x:c r="L21" s="8"/>
      <x:c r="M21" s="8"/>
      <x:c r="N21" s="8"/>
      <x:c r="O21" s="8"/>
    </x:row>
    <x:row r="22">
      <x:c r="A22" s="8"/>
      <x:c r="B22" s="8"/>
      <x:c r="C22" s="8"/>
      <x:c r="D22" s="8"/>
      <x:c r="E22" s="8"/>
      <x:c r="F22" s="8"/>
      <x:c r="G22" s="11"/>
      <x:c r="H22" s="12"/>
      <x:c r="I22" s="12"/>
      <x:c r="J22" s="12"/>
      <x:c r="K22" s="13" t="str">
        <x:f>IF(J22="","",J22-TODAY())</x:f>
      </x:c>
      <x:c r="L22" s="8"/>
      <x:c r="M22" s="8"/>
      <x:c r="N22" s="8"/>
      <x:c r="O22" s="8"/>
    </x:row>
    <x:row r="23">
      <x:c r="A23" s="8"/>
      <x:c r="B23" s="8"/>
      <x:c r="C23" s="8"/>
      <x:c r="D23" s="8"/>
      <x:c r="E23" s="8"/>
      <x:c r="F23" s="8"/>
      <x:c r="G23" s="11"/>
      <x:c r="H23" s="12"/>
      <x:c r="I23" s="12"/>
      <x:c r="J23" s="12"/>
      <x:c r="K23" s="13" t="str">
        <x:f>IF(J23="","",J23-TODAY())</x:f>
      </x:c>
      <x:c r="L23" s="8"/>
      <x:c r="M23" s="8"/>
      <x:c r="N23" s="8"/>
      <x:c r="O23" s="8"/>
    </x:row>
    <x:row r="24">
      <x:c r="A24" s="8"/>
      <x:c r="B24" s="8"/>
      <x:c r="C24" s="8"/>
      <x:c r="D24" s="8"/>
      <x:c r="E24" s="8"/>
      <x:c r="F24" s="8"/>
      <x:c r="G24" s="11"/>
      <x:c r="H24" s="12"/>
      <x:c r="I24" s="12"/>
      <x:c r="J24" s="12"/>
      <x:c r="K24" s="13" t="str">
        <x:f>IF(J24="","",J24-TODAY())</x:f>
      </x:c>
      <x:c r="L24" s="8"/>
      <x:c r="M24" s="8"/>
      <x:c r="N24" s="8"/>
      <x:c r="O24" s="8"/>
    </x:row>
    <x:row r="25">
      <x:c r="A25" s="8"/>
      <x:c r="B25" s="8"/>
      <x:c r="C25" s="8"/>
      <x:c r="D25" s="8"/>
      <x:c r="E25" s="8"/>
      <x:c r="F25" s="8"/>
      <x:c r="G25" s="11"/>
      <x:c r="H25" s="12"/>
      <x:c r="I25" s="12"/>
      <x:c r="J25" s="12"/>
      <x:c r="K25" s="13" t="str">
        <x:f>IF(J25="","",J25-TODAY())</x:f>
      </x:c>
      <x:c r="L25" s="8"/>
      <x:c r="M25" s="8"/>
      <x:c r="N25" s="8"/>
      <x:c r="O25" s="8"/>
    </x:row>
    <x:row r="26">
      <x:c r="A26" s="8"/>
      <x:c r="B26" s="8"/>
      <x:c r="C26" s="8"/>
      <x:c r="D26" s="8"/>
      <x:c r="E26" s="8"/>
      <x:c r="F26" s="8"/>
      <x:c r="G26" s="11"/>
      <x:c r="H26" s="12"/>
      <x:c r="I26" s="12"/>
      <x:c r="J26" s="12"/>
      <x:c r="K26" s="13" t="str">
        <x:f>IF(J26="","",J26-TODAY())</x:f>
      </x:c>
      <x:c r="L26" s="8"/>
      <x:c r="M26" s="8"/>
      <x:c r="N26" s="8"/>
      <x:c r="O26" s="8"/>
    </x:row>
    <x:row r="27">
      <x:c r="A27" s="8"/>
      <x:c r="B27" s="8"/>
      <x:c r="C27" s="8"/>
      <x:c r="D27" s="8"/>
      <x:c r="E27" s="8"/>
      <x:c r="F27" s="8"/>
      <x:c r="G27" s="11"/>
      <x:c r="H27" s="12"/>
      <x:c r="I27" s="12"/>
      <x:c r="J27" s="12"/>
      <x:c r="K27" s="13" t="str">
        <x:f>IF(J27="","",J27-TODAY())</x:f>
      </x:c>
      <x:c r="L27" s="8"/>
      <x:c r="M27" s="8"/>
      <x:c r="N27" s="8"/>
      <x:c r="O27" s="8"/>
    </x:row>
    <x:row r="28">
      <x:c r="A28" s="8"/>
      <x:c r="B28" s="8"/>
      <x:c r="C28" s="8"/>
      <x:c r="D28" s="8"/>
      <x:c r="E28" s="8"/>
      <x:c r="F28" s="8"/>
      <x:c r="G28" s="11"/>
      <x:c r="H28" s="12"/>
      <x:c r="I28" s="12"/>
      <x:c r="J28" s="12"/>
      <x:c r="K28" s="13" t="str">
        <x:f>IF(J28="","",J28-TODAY())</x:f>
      </x:c>
      <x:c r="L28" s="8"/>
      <x:c r="M28" s="8"/>
      <x:c r="N28" s="8"/>
      <x:c r="O28" s="8"/>
    </x:row>
    <x:row r="29">
      <x:c r="A29" s="8"/>
      <x:c r="B29" s="8"/>
      <x:c r="C29" s="8"/>
      <x:c r="D29" s="8"/>
      <x:c r="E29" s="8"/>
      <x:c r="F29" s="8"/>
      <x:c r="G29" s="11"/>
      <x:c r="H29" s="12"/>
      <x:c r="I29" s="12"/>
      <x:c r="J29" s="12"/>
      <x:c r="K29" s="13" t="str">
        <x:f>IF(J29="","",J29-TODAY())</x:f>
      </x:c>
      <x:c r="L29" s="8"/>
      <x:c r="M29" s="8"/>
      <x:c r="N29" s="8"/>
      <x:c r="O29" s="8"/>
    </x:row>
    <x:row r="30">
      <x:c r="A30" s="8"/>
      <x:c r="B30" s="8"/>
      <x:c r="C30" s="8"/>
      <x:c r="D30" s="8"/>
      <x:c r="E30" s="8"/>
      <x:c r="F30" s="8"/>
      <x:c r="G30" s="11"/>
      <x:c r="H30" s="12"/>
      <x:c r="I30" s="12"/>
      <x:c r="J30" s="12"/>
      <x:c r="K30" s="13" t="str">
        <x:f>IF(J30="","",J30-TODAY())</x:f>
      </x:c>
      <x:c r="L30" s="8"/>
      <x:c r="M30" s="8"/>
      <x:c r="N30" s="8"/>
      <x:c r="O30" s="8"/>
    </x:row>
    <x:row r="31">
      <x:c r="A31" s="8"/>
      <x:c r="B31" s="8"/>
      <x:c r="C31" s="8"/>
      <x:c r="D31" s="8"/>
      <x:c r="E31" s="8"/>
      <x:c r="F31" s="8"/>
      <x:c r="G31" s="11"/>
      <x:c r="H31" s="12"/>
      <x:c r="I31" s="12"/>
      <x:c r="J31" s="12"/>
      <x:c r="K31" s="13" t="str">
        <x:f>IF(J31="","",J31-TODAY())</x:f>
      </x:c>
      <x:c r="L31" s="8"/>
      <x:c r="M31" s="8"/>
      <x:c r="N31" s="8"/>
      <x:c r="O31" s="8"/>
    </x:row>
    <x:row r="32">
      <x:c r="A32" s="8"/>
      <x:c r="B32" s="8"/>
      <x:c r="C32" s="8"/>
      <x:c r="D32" s="8"/>
      <x:c r="E32" s="8"/>
      <x:c r="F32" s="8"/>
      <x:c r="G32" s="11"/>
      <x:c r="H32" s="12"/>
      <x:c r="I32" s="12"/>
      <x:c r="J32" s="12"/>
      <x:c r="K32" s="13" t="str">
        <x:f>IF(J32="","",J32-TODAY())</x:f>
      </x:c>
      <x:c r="L32" s="8"/>
      <x:c r="M32" s="8"/>
      <x:c r="N32" s="8"/>
      <x:c r="O32" s="8"/>
    </x:row>
    <x:row r="33">
      <x:c r="A33" s="8"/>
      <x:c r="B33" s="8"/>
      <x:c r="C33" s="8"/>
      <x:c r="D33" s="8"/>
      <x:c r="E33" s="8"/>
      <x:c r="F33" s="8"/>
      <x:c r="G33" s="11"/>
      <x:c r="H33" s="12"/>
      <x:c r="I33" s="12"/>
      <x:c r="J33" s="12"/>
      <x:c r="K33" s="13" t="str">
        <x:f>IF(J33="","",J33-TODAY())</x:f>
      </x:c>
      <x:c r="L33" s="8"/>
      <x:c r="M33" s="8"/>
      <x:c r="N33" s="8"/>
      <x:c r="O33" s="8"/>
    </x:row>
    <x:row r="34">
      <x:c r="A34" s="8"/>
      <x:c r="B34" s="8"/>
      <x:c r="C34" s="8"/>
      <x:c r="D34" s="8"/>
      <x:c r="E34" s="8"/>
      <x:c r="F34" s="8"/>
      <x:c r="G34" s="11"/>
      <x:c r="H34" s="12"/>
      <x:c r="I34" s="12"/>
      <x:c r="J34" s="12"/>
      <x:c r="K34" s="13" t="str">
        <x:f>IF(J34="","",J34-TODAY())</x:f>
      </x:c>
      <x:c r="L34" s="8"/>
      <x:c r="M34" s="8"/>
      <x:c r="N34" s="8"/>
      <x:c r="O34" s="8"/>
    </x:row>
    <x:row r="35">
      <x:c r="A35" s="8"/>
      <x:c r="B35" s="8"/>
      <x:c r="C35" s="8"/>
      <x:c r="D35" s="8"/>
      <x:c r="E35" s="8"/>
      <x:c r="F35" s="8"/>
      <x:c r="G35" s="11"/>
      <x:c r="H35" s="12"/>
      <x:c r="I35" s="12"/>
      <x:c r="J35" s="12"/>
      <x:c r="K35" s="13" t="str">
        <x:f>IF(J35="","",J35-TODAY())</x:f>
      </x:c>
      <x:c r="L35" s="8"/>
      <x:c r="M35" s="8"/>
      <x:c r="N35" s="8"/>
      <x:c r="O35" s="8"/>
    </x:row>
    <x:row r="36">
      <x:c r="A36" s="8"/>
      <x:c r="B36" s="8"/>
      <x:c r="C36" s="8"/>
      <x:c r="D36" s="8"/>
      <x:c r="E36" s="8"/>
      <x:c r="F36" s="8"/>
      <x:c r="G36" s="11"/>
      <x:c r="H36" s="12"/>
      <x:c r="I36" s="12"/>
      <x:c r="J36" s="12"/>
      <x:c r="K36" s="13" t="str">
        <x:f>IF(J36="","",J36-TODAY())</x:f>
      </x:c>
      <x:c r="L36" s="8"/>
      <x:c r="M36" s="8"/>
      <x:c r="N36" s="8"/>
      <x:c r="O36" s="8"/>
    </x:row>
    <x:row r="37">
      <x:c r="A37" s="8"/>
      <x:c r="B37" s="8"/>
      <x:c r="C37" s="8"/>
      <x:c r="D37" s="8"/>
      <x:c r="E37" s="8"/>
      <x:c r="F37" s="8"/>
      <x:c r="G37" s="11"/>
      <x:c r="H37" s="12"/>
      <x:c r="I37" s="12"/>
      <x:c r="J37" s="12"/>
      <x:c r="K37" s="13" t="str">
        <x:f>IF(J37="","",J37-TODAY())</x:f>
      </x:c>
      <x:c r="L37" s="8"/>
      <x:c r="M37" s="8"/>
      <x:c r="N37" s="8"/>
      <x:c r="O37" s="8"/>
    </x:row>
    <x:row r="38">
      <x:c r="A38" s="8"/>
      <x:c r="B38" s="8"/>
      <x:c r="C38" s="8"/>
      <x:c r="D38" s="8"/>
      <x:c r="E38" s="8"/>
      <x:c r="F38" s="8"/>
      <x:c r="G38" s="11"/>
      <x:c r="H38" s="12"/>
      <x:c r="I38" s="12"/>
      <x:c r="J38" s="12"/>
      <x:c r="K38" s="13" t="str">
        <x:f>IF(J38="","",J38-TODAY())</x:f>
      </x:c>
      <x:c r="L38" s="8"/>
      <x:c r="M38" s="8"/>
      <x:c r="N38" s="8"/>
      <x:c r="O38" s="8"/>
    </x:row>
    <x:row r="39">
      <x:c r="A39" s="8"/>
      <x:c r="B39" s="8"/>
      <x:c r="C39" s="8"/>
      <x:c r="D39" s="8"/>
      <x:c r="E39" s="8"/>
      <x:c r="F39" s="8"/>
      <x:c r="G39" s="11"/>
      <x:c r="H39" s="12"/>
      <x:c r="I39" s="12"/>
      <x:c r="J39" s="12"/>
      <x:c r="K39" s="13" t="str">
        <x:f>IF(J39="","",J39-TODAY())</x:f>
      </x:c>
      <x:c r="L39" s="8"/>
      <x:c r="M39" s="8"/>
      <x:c r="N39" s="8"/>
      <x:c r="O39" s="8"/>
    </x:row>
    <x:row r="40">
      <x:c r="A40" s="8"/>
      <x:c r="B40" s="8"/>
      <x:c r="C40" s="8"/>
      <x:c r="D40" s="8"/>
      <x:c r="E40" s="8"/>
      <x:c r="F40" s="8"/>
      <x:c r="G40" s="11"/>
      <x:c r="H40" s="12"/>
      <x:c r="I40" s="12"/>
      <x:c r="J40" s="12"/>
      <x:c r="K40" s="13" t="str">
        <x:f>IF(J40="","",J40-TODAY())</x:f>
      </x:c>
      <x:c r="L40" s="8"/>
      <x:c r="M40" s="8"/>
      <x:c r="N40" s="8"/>
      <x:c r="O40" s="8"/>
    </x:row>
    <x:row r="41">
      <x:c r="A41" s="8"/>
      <x:c r="B41" s="8"/>
      <x:c r="C41" s="8"/>
      <x:c r="D41" s="8"/>
      <x:c r="E41" s="8"/>
      <x:c r="F41" s="8"/>
      <x:c r="G41" s="11"/>
      <x:c r="H41" s="12"/>
      <x:c r="I41" s="12"/>
      <x:c r="J41" s="12"/>
      <x:c r="K41" s="13" t="str">
        <x:f>IF(J41="","",J41-TODAY())</x:f>
      </x:c>
      <x:c r="L41" s="8"/>
      <x:c r="M41" s="8"/>
      <x:c r="N41" s="8"/>
      <x:c r="O41" s="8"/>
    </x:row>
    <x:row r="42">
      <x:c r="A42" s="8"/>
      <x:c r="B42" s="8"/>
      <x:c r="C42" s="8"/>
      <x:c r="D42" s="8"/>
      <x:c r="E42" s="8"/>
      <x:c r="F42" s="8"/>
      <x:c r="G42" s="11"/>
      <x:c r="H42" s="12"/>
      <x:c r="I42" s="12"/>
      <x:c r="J42" s="12"/>
      <x:c r="K42" s="13" t="str">
        <x:f>IF(J42="","",J42-TODAY())</x:f>
      </x:c>
      <x:c r="L42" s="8"/>
      <x:c r="M42" s="8"/>
      <x:c r="N42" s="8"/>
      <x:c r="O42" s="8"/>
    </x:row>
    <x:row r="43">
      <x:c r="A43" s="8"/>
      <x:c r="B43" s="8"/>
      <x:c r="C43" s="8"/>
      <x:c r="D43" s="8"/>
      <x:c r="E43" s="8"/>
      <x:c r="F43" s="8"/>
      <x:c r="G43" s="11"/>
      <x:c r="H43" s="12"/>
      <x:c r="I43" s="12"/>
      <x:c r="J43" s="12"/>
      <x:c r="K43" s="13" t="str">
        <x:f>IF(J43="","",J43-TODAY())</x:f>
      </x:c>
      <x:c r="L43" s="8"/>
      <x:c r="M43" s="8"/>
      <x:c r="N43" s="8"/>
      <x:c r="O43" s="8"/>
    </x:row>
    <x:row r="44">
      <x:c r="A44" s="8"/>
      <x:c r="B44" s="8"/>
      <x:c r="C44" s="8"/>
      <x:c r="D44" s="8"/>
      <x:c r="E44" s="8"/>
      <x:c r="F44" s="8"/>
      <x:c r="G44" s="11"/>
      <x:c r="H44" s="12"/>
      <x:c r="I44" s="12"/>
      <x:c r="J44" s="12"/>
      <x:c r="K44" s="13" t="str">
        <x:f>IF(J44="","",J44-TODAY())</x:f>
      </x:c>
      <x:c r="L44" s="8"/>
      <x:c r="M44" s="8"/>
      <x:c r="N44" s="8"/>
      <x:c r="O44" s="8"/>
    </x:row>
    <x:row r="45">
      <x:c r="A45" s="8"/>
      <x:c r="B45" s="8"/>
      <x:c r="C45" s="8"/>
      <x:c r="D45" s="8"/>
      <x:c r="E45" s="8"/>
      <x:c r="F45" s="8"/>
      <x:c r="G45" s="11"/>
      <x:c r="H45" s="12"/>
      <x:c r="I45" s="12"/>
      <x:c r="J45" s="12"/>
      <x:c r="K45" s="13" t="str">
        <x:f>IF(J45="","",J45-TODAY())</x:f>
      </x:c>
      <x:c r="L45" s="8"/>
      <x:c r="M45" s="8"/>
      <x:c r="N45" s="8"/>
      <x:c r="O45" s="8"/>
    </x:row>
    <x:row r="46">
      <x:c r="A46" s="8"/>
      <x:c r="B46" s="8"/>
      <x:c r="C46" s="8"/>
      <x:c r="D46" s="8"/>
      <x:c r="E46" s="8"/>
      <x:c r="F46" s="8"/>
      <x:c r="G46" s="11"/>
      <x:c r="H46" s="12"/>
      <x:c r="I46" s="12"/>
      <x:c r="J46" s="12"/>
      <x:c r="K46" s="13" t="str">
        <x:f>IF(J46="","",J46-TODAY())</x:f>
      </x:c>
      <x:c r="L46" s="8"/>
      <x:c r="M46" s="8"/>
      <x:c r="N46" s="8"/>
      <x:c r="O46" s="8"/>
    </x:row>
    <x:row r="47">
      <x:c r="A47" s="8"/>
      <x:c r="B47" s="8"/>
      <x:c r="C47" s="8"/>
      <x:c r="D47" s="8"/>
      <x:c r="E47" s="8"/>
      <x:c r="F47" s="8"/>
      <x:c r="G47" s="11"/>
      <x:c r="H47" s="12"/>
      <x:c r="I47" s="12"/>
      <x:c r="J47" s="12"/>
      <x:c r="K47" s="13" t="str">
        <x:f>IF(J47="","",J47-TODAY())</x:f>
      </x:c>
      <x:c r="L47" s="8"/>
      <x:c r="M47" s="8"/>
      <x:c r="N47" s="8"/>
      <x:c r="O47" s="8"/>
    </x:row>
    <x:row r="48">
      <x:c r="A48" s="8"/>
      <x:c r="B48" s="8"/>
      <x:c r="C48" s="8"/>
      <x:c r="D48" s="8"/>
      <x:c r="E48" s="8"/>
      <x:c r="F48" s="8"/>
      <x:c r="G48" s="11"/>
      <x:c r="H48" s="12"/>
      <x:c r="I48" s="12"/>
      <x:c r="J48" s="12"/>
      <x:c r="K48" s="13" t="str">
        <x:f>IF(J48="","",J48-TODAY())</x:f>
      </x:c>
      <x:c r="L48" s="8"/>
      <x:c r="M48" s="8"/>
      <x:c r="N48" s="8"/>
      <x:c r="O48" s="8"/>
    </x:row>
    <x:row r="49">
      <x:c r="A49" s="8"/>
      <x:c r="B49" s="8"/>
      <x:c r="C49" s="8"/>
      <x:c r="D49" s="8"/>
      <x:c r="E49" s="8"/>
      <x:c r="F49" s="8"/>
      <x:c r="G49" s="11"/>
      <x:c r="H49" s="12"/>
      <x:c r="I49" s="12"/>
      <x:c r="J49" s="12"/>
      <x:c r="K49" s="13" t="str">
        <x:f>IF(J49="","",J49-TODAY())</x:f>
      </x:c>
      <x:c r="L49" s="8"/>
      <x:c r="M49" s="8"/>
      <x:c r="N49" s="8"/>
      <x:c r="O49" s="8"/>
    </x:row>
    <x:row r="50">
      <x:c r="A50" s="8"/>
      <x:c r="B50" s="8"/>
      <x:c r="C50" s="8"/>
      <x:c r="D50" s="8"/>
      <x:c r="E50" s="8"/>
      <x:c r="F50" s="8"/>
      <x:c r="G50" s="11"/>
      <x:c r="H50" s="12"/>
      <x:c r="I50" s="12"/>
      <x:c r="J50" s="12"/>
      <x:c r="K50" s="13" t="str">
        <x:f>IF(J50="","",J50-TODAY())</x:f>
      </x:c>
      <x:c r="L50" s="8"/>
      <x:c r="M50" s="8"/>
      <x:c r="N50" s="8"/>
      <x:c r="O50" s="8"/>
    </x:row>
    <x:row r="51">
      <x:c r="A51" s="8"/>
      <x:c r="B51" s="8"/>
      <x:c r="C51" s="8"/>
      <x:c r="D51" s="8"/>
      <x:c r="E51" s="8"/>
      <x:c r="F51" s="8"/>
      <x:c r="G51" s="11"/>
      <x:c r="H51" s="12"/>
      <x:c r="I51" s="12"/>
      <x:c r="J51" s="12"/>
      <x:c r="K51" s="13" t="str">
        <x:f>IF(J51="","",J51-TODAY())</x:f>
      </x:c>
      <x:c r="L51" s="8"/>
      <x:c r="M51" s="8"/>
      <x:c r="N51" s="8"/>
      <x:c r="O51" s="8"/>
    </x:row>
    <x:row r="52">
      <x:c r="A52" s="8"/>
      <x:c r="B52" s="8"/>
      <x:c r="C52" s="8"/>
      <x:c r="D52" s="8"/>
      <x:c r="E52" s="8"/>
      <x:c r="F52" s="8"/>
      <x:c r="G52" s="11"/>
      <x:c r="H52" s="12"/>
      <x:c r="I52" s="12"/>
      <x:c r="J52" s="12"/>
      <x:c r="K52" s="13" t="str">
        <x:f>IF(J52="","",J52-TODAY())</x:f>
      </x:c>
      <x:c r="L52" s="8"/>
      <x:c r="M52" s="8"/>
      <x:c r="N52" s="8"/>
      <x:c r="O52" s="8"/>
    </x:row>
    <x:row r="53">
      <x:c r="A53" s="8"/>
      <x:c r="B53" s="8"/>
      <x:c r="C53" s="8"/>
      <x:c r="D53" s="8"/>
      <x:c r="E53" s="8"/>
      <x:c r="F53" s="8"/>
      <x:c r="G53" s="11"/>
      <x:c r="H53" s="12"/>
      <x:c r="I53" s="12"/>
      <x:c r="J53" s="12"/>
      <x:c r="K53" s="13" t="str">
        <x:f>IF(J53="","",J53-TODAY())</x:f>
      </x:c>
      <x:c r="L53" s="8"/>
      <x:c r="M53" s="8"/>
      <x:c r="N53" s="8"/>
      <x:c r="O53" s="8"/>
    </x:row>
    <x:row r="54">
      <x:c r="A54" s="8"/>
      <x:c r="B54" s="8"/>
      <x:c r="C54" s="8"/>
      <x:c r="D54" s="8"/>
      <x:c r="E54" s="8"/>
      <x:c r="F54" s="8"/>
      <x:c r="G54" s="11"/>
      <x:c r="H54" s="12"/>
      <x:c r="I54" s="12"/>
      <x:c r="J54" s="12"/>
      <x:c r="K54" s="13" t="str">
        <x:f>IF(J54="","",J54-TODAY())</x:f>
      </x:c>
      <x:c r="L54" s="8"/>
      <x:c r="M54" s="8"/>
      <x:c r="N54" s="8"/>
      <x:c r="O54" s="8"/>
    </x:row>
    <x:row r="55">
      <x:c r="A55" s="8"/>
      <x:c r="B55" s="8"/>
      <x:c r="C55" s="8"/>
      <x:c r="D55" s="8"/>
      <x:c r="E55" s="8"/>
      <x:c r="F55" s="8"/>
      <x:c r="G55" s="11"/>
      <x:c r="H55" s="12"/>
      <x:c r="I55" s="12"/>
      <x:c r="J55" s="12"/>
      <x:c r="K55" s="13" t="str">
        <x:f>IF(J55="","",J55-TODAY())</x:f>
      </x:c>
      <x:c r="L55" s="8"/>
      <x:c r="M55" s="8"/>
      <x:c r="N55" s="8"/>
      <x:c r="O55" s="8"/>
    </x:row>
    <x:row r="56">
      <x:c r="A56" s="8"/>
      <x:c r="B56" s="8"/>
      <x:c r="C56" s="8"/>
      <x:c r="D56" s="8"/>
      <x:c r="E56" s="8"/>
      <x:c r="F56" s="8"/>
      <x:c r="G56" s="11"/>
      <x:c r="H56" s="12"/>
      <x:c r="I56" s="12"/>
      <x:c r="J56" s="12"/>
      <x:c r="K56" s="13" t="str">
        <x:f>IF(J56="","",J56-TODAY())</x:f>
      </x:c>
      <x:c r="L56" s="8"/>
      <x:c r="M56" s="8"/>
      <x:c r="N56" s="8"/>
      <x:c r="O56" s="8"/>
    </x:row>
    <x:row r="57">
      <x:c r="A57" s="8"/>
      <x:c r="B57" s="8"/>
      <x:c r="C57" s="8"/>
      <x:c r="D57" s="8"/>
      <x:c r="E57" s="8"/>
      <x:c r="F57" s="8"/>
      <x:c r="G57" s="11"/>
      <x:c r="H57" s="12"/>
      <x:c r="I57" s="12"/>
      <x:c r="J57" s="12"/>
      <x:c r="K57" s="13" t="str">
        <x:f>IF(J57="","",J57-TODAY())</x:f>
      </x:c>
      <x:c r="L57" s="8"/>
      <x:c r="M57" s="8"/>
      <x:c r="N57" s="8"/>
      <x:c r="O57" s="8"/>
    </x:row>
    <x:row r="58">
      <x:c r="A58" s="8"/>
      <x:c r="B58" s="8"/>
      <x:c r="C58" s="8"/>
      <x:c r="D58" s="8"/>
      <x:c r="E58" s="8"/>
      <x:c r="F58" s="8"/>
      <x:c r="G58" s="11"/>
      <x:c r="H58" s="12"/>
      <x:c r="I58" s="12"/>
      <x:c r="J58" s="12"/>
      <x:c r="K58" s="13" t="str">
        <x:f>IF(J58="","",J58-TODAY())</x:f>
      </x:c>
      <x:c r="L58" s="8"/>
      <x:c r="M58" s="8"/>
      <x:c r="N58" s="8"/>
      <x:c r="O58" s="8"/>
    </x:row>
    <x:row r="59">
      <x:c r="A59" s="8"/>
      <x:c r="B59" s="8"/>
      <x:c r="C59" s="8"/>
      <x:c r="D59" s="8"/>
      <x:c r="E59" s="8"/>
      <x:c r="F59" s="8"/>
      <x:c r="G59" s="11"/>
      <x:c r="H59" s="12"/>
      <x:c r="I59" s="12"/>
      <x:c r="J59" s="12"/>
      <x:c r="K59" s="13" t="str">
        <x:f>IF(J59="","",J59-TODAY())</x:f>
      </x:c>
      <x:c r="L59" s="8"/>
      <x:c r="M59" s="8"/>
      <x:c r="N59" s="8"/>
      <x:c r="O59" s="8"/>
    </x:row>
    <x:row r="60">
      <x:c r="A60" s="8"/>
      <x:c r="B60" s="8"/>
      <x:c r="C60" s="8"/>
      <x:c r="D60" s="8"/>
      <x:c r="E60" s="8"/>
      <x:c r="F60" s="8"/>
      <x:c r="G60" s="11"/>
      <x:c r="H60" s="12"/>
      <x:c r="I60" s="12"/>
      <x:c r="J60" s="12"/>
      <x:c r="K60" s="13" t="str">
        <x:f>IF(J60="","",J60-TODAY())</x:f>
      </x:c>
      <x:c r="L60" s="8"/>
      <x:c r="M60" s="8"/>
      <x:c r="N60" s="8"/>
      <x:c r="O60" s="8"/>
    </x:row>
    <x:row r="61">
      <x:c r="A61" s="8"/>
      <x:c r="B61" s="8"/>
      <x:c r="C61" s="8"/>
      <x:c r="D61" s="8"/>
      <x:c r="E61" s="8"/>
      <x:c r="F61" s="8"/>
      <x:c r="G61" s="11"/>
      <x:c r="H61" s="12"/>
      <x:c r="I61" s="12"/>
      <x:c r="J61" s="12"/>
      <x:c r="K61" s="13" t="str">
        <x:f>IF(J61="","",J61-TODAY())</x:f>
      </x:c>
      <x:c r="L61" s="8"/>
      <x:c r="M61" s="8"/>
      <x:c r="N61" s="8"/>
      <x:c r="O61" s="8"/>
    </x:row>
    <x:row r="62">
      <x:c r="A62" s="8"/>
      <x:c r="B62" s="8"/>
      <x:c r="C62" s="8"/>
      <x:c r="D62" s="8"/>
      <x:c r="E62" s="8"/>
      <x:c r="F62" s="8"/>
      <x:c r="G62" s="11"/>
      <x:c r="H62" s="12"/>
      <x:c r="I62" s="12"/>
      <x:c r="J62" s="12"/>
      <x:c r="K62" s="13" t="str">
        <x:f>IF(J62="","",J62-TODAY())</x:f>
      </x:c>
      <x:c r="L62" s="8"/>
      <x:c r="M62" s="8"/>
      <x:c r="N62" s="8"/>
      <x:c r="O62" s="8"/>
    </x:row>
    <x:row r="63">
      <x:c r="A63" s="8"/>
      <x:c r="B63" s="8"/>
      <x:c r="C63" s="8"/>
      <x:c r="D63" s="8"/>
      <x:c r="E63" s="8"/>
      <x:c r="F63" s="8"/>
      <x:c r="G63" s="11"/>
      <x:c r="H63" s="12"/>
      <x:c r="I63" s="12"/>
      <x:c r="J63" s="12"/>
      <x:c r="K63" s="13" t="str">
        <x:f>IF(J63="","",J63-TODAY())</x:f>
      </x:c>
      <x:c r="L63" s="8"/>
      <x:c r="M63" s="8"/>
      <x:c r="N63" s="8"/>
      <x:c r="O63" s="8"/>
    </x:row>
    <x:row r="64">
      <x:c r="A64" s="8"/>
      <x:c r="B64" s="8"/>
      <x:c r="C64" s="8"/>
      <x:c r="D64" s="8"/>
      <x:c r="E64" s="8"/>
      <x:c r="F64" s="8"/>
      <x:c r="G64" s="11"/>
      <x:c r="H64" s="12"/>
      <x:c r="I64" s="12"/>
      <x:c r="J64" s="12"/>
      <x:c r="K64" s="13" t="str">
        <x:f>IF(J64="","",J64-TODAY())</x:f>
      </x:c>
      <x:c r="L64" s="8"/>
      <x:c r="M64" s="8"/>
      <x:c r="N64" s="8"/>
      <x:c r="O64" s="8"/>
    </x:row>
    <x:row r="65">
      <x:c r="A65" s="8"/>
      <x:c r="B65" s="8"/>
      <x:c r="C65" s="8"/>
      <x:c r="D65" s="8"/>
      <x:c r="E65" s="8"/>
      <x:c r="F65" s="8"/>
      <x:c r="G65" s="11"/>
      <x:c r="H65" s="12"/>
      <x:c r="I65" s="12"/>
      <x:c r="J65" s="12"/>
      <x:c r="K65" s="13" t="str">
        <x:f>IF(J65="","",J65-TODAY())</x:f>
      </x:c>
      <x:c r="L65" s="8"/>
      <x:c r="M65" s="8"/>
      <x:c r="N65" s="8"/>
      <x:c r="O65" s="8"/>
    </x:row>
    <x:row r="66">
      <x:c r="A66" s="8"/>
      <x:c r="B66" s="8"/>
      <x:c r="C66" s="8"/>
      <x:c r="D66" s="8"/>
      <x:c r="E66" s="8"/>
      <x:c r="F66" s="8"/>
      <x:c r="G66" s="11"/>
      <x:c r="H66" s="12"/>
      <x:c r="I66" s="12"/>
      <x:c r="J66" s="12"/>
      <x:c r="K66" s="13" t="str">
        <x:f>IF(J66="","",J66-TODAY())</x:f>
      </x:c>
      <x:c r="L66" s="8"/>
      <x:c r="M66" s="8"/>
      <x:c r="N66" s="8"/>
      <x:c r="O66" s="8"/>
    </x:row>
    <x:row r="67">
      <x:c r="A67" s="8"/>
      <x:c r="B67" s="8"/>
      <x:c r="C67" s="8"/>
      <x:c r="D67" s="8"/>
      <x:c r="E67" s="8"/>
      <x:c r="F67" s="8"/>
      <x:c r="G67" s="11"/>
      <x:c r="H67" s="12"/>
      <x:c r="I67" s="12"/>
      <x:c r="J67" s="12"/>
      <x:c r="K67" s="13" t="str">
        <x:f>IF(J67="","",J67-TODAY())</x:f>
      </x:c>
      <x:c r="L67" s="8"/>
      <x:c r="M67" s="8"/>
      <x:c r="N67" s="8"/>
      <x:c r="O67" s="8"/>
    </x:row>
    <x:row r="68">
      <x:c r="A68" s="8"/>
      <x:c r="B68" s="8"/>
      <x:c r="C68" s="8"/>
      <x:c r="D68" s="8"/>
      <x:c r="E68" s="8"/>
      <x:c r="F68" s="8"/>
      <x:c r="G68" s="11"/>
      <x:c r="H68" s="12"/>
      <x:c r="I68" s="12"/>
      <x:c r="J68" s="12"/>
      <x:c r="K68" s="13" t="str">
        <x:f>IF(J68="","",J68-TODAY())</x:f>
      </x:c>
      <x:c r="L68" s="8"/>
      <x:c r="M68" s="8"/>
      <x:c r="N68" s="8"/>
      <x:c r="O68" s="8"/>
    </x:row>
    <x:row r="69">
      <x:c r="A69" s="8"/>
      <x:c r="B69" s="8"/>
      <x:c r="C69" s="8"/>
      <x:c r="D69" s="8"/>
      <x:c r="E69" s="8"/>
      <x:c r="F69" s="8"/>
      <x:c r="G69" s="11"/>
      <x:c r="H69" s="12"/>
      <x:c r="I69" s="12"/>
      <x:c r="J69" s="12"/>
      <x:c r="K69" s="13" t="str">
        <x:f>IF(J69="","",J69-TODAY())</x:f>
      </x:c>
      <x:c r="L69" s="8"/>
      <x:c r="M69" s="8"/>
      <x:c r="N69" s="8"/>
      <x:c r="O69" s="8"/>
    </x:row>
    <x:row r="70">
      <x:c r="A70" s="8"/>
      <x:c r="B70" s="8"/>
      <x:c r="C70" s="8"/>
      <x:c r="D70" s="8"/>
      <x:c r="E70" s="8"/>
      <x:c r="F70" s="8"/>
      <x:c r="G70" s="11"/>
      <x:c r="H70" s="12"/>
      <x:c r="I70" s="12"/>
      <x:c r="J70" s="12"/>
      <x:c r="K70" s="13" t="str">
        <x:f>IF(J70="","",J70-TODAY())</x:f>
      </x:c>
      <x:c r="L70" s="8"/>
      <x:c r="M70" s="8"/>
      <x:c r="N70" s="8"/>
      <x:c r="O70" s="8"/>
    </x:row>
    <x:row r="71">
      <x:c r="A71" s="8"/>
      <x:c r="B71" s="8"/>
      <x:c r="C71" s="8"/>
      <x:c r="D71" s="8"/>
      <x:c r="E71" s="8"/>
      <x:c r="F71" s="8"/>
      <x:c r="G71" s="11"/>
      <x:c r="H71" s="12"/>
      <x:c r="I71" s="12"/>
      <x:c r="J71" s="12"/>
      <x:c r="K71" s="13" t="str">
        <x:f>IF(J71="","",J71-TODAY())</x:f>
      </x:c>
      <x:c r="L71" s="8"/>
      <x:c r="M71" s="8"/>
      <x:c r="N71" s="8"/>
      <x:c r="O71" s="8"/>
    </x:row>
    <x:row r="72">
      <x:c r="A72" s="8"/>
      <x:c r="B72" s="8"/>
      <x:c r="C72" s="8"/>
      <x:c r="D72" s="8"/>
      <x:c r="E72" s="8"/>
      <x:c r="F72" s="8"/>
      <x:c r="G72" s="11"/>
      <x:c r="H72" s="12"/>
      <x:c r="I72" s="12"/>
      <x:c r="J72" s="12"/>
      <x:c r="K72" s="13" t="str">
        <x:f>IF(J72="","",J72-TODAY())</x:f>
      </x:c>
      <x:c r="L72" s="8"/>
      <x:c r="M72" s="8"/>
      <x:c r="N72" s="8"/>
      <x:c r="O72" s="8"/>
    </x:row>
    <x:row r="73">
      <x:c r="A73" s="8"/>
      <x:c r="B73" s="8"/>
      <x:c r="C73" s="8"/>
      <x:c r="D73" s="8"/>
      <x:c r="E73" s="8"/>
      <x:c r="F73" s="8"/>
      <x:c r="G73" s="11"/>
      <x:c r="H73" s="12"/>
      <x:c r="I73" s="12"/>
      <x:c r="J73" s="12"/>
      <x:c r="K73" s="13" t="str">
        <x:f>IF(J73="","",J73-TODAY())</x:f>
      </x:c>
      <x:c r="L73" s="8"/>
      <x:c r="M73" s="8"/>
      <x:c r="N73" s="8"/>
      <x:c r="O73" s="8"/>
    </x:row>
    <x:row r="74">
      <x:c r="A74" s="8"/>
      <x:c r="B74" s="8"/>
      <x:c r="C74" s="8"/>
      <x:c r="D74" s="8"/>
      <x:c r="E74" s="8"/>
      <x:c r="F74" s="8"/>
      <x:c r="G74" s="11"/>
      <x:c r="H74" s="12"/>
      <x:c r="I74" s="12"/>
      <x:c r="J74" s="12"/>
      <x:c r="K74" s="13" t="str">
        <x:f>IF(J74="","",J74-TODAY())</x:f>
      </x:c>
      <x:c r="L74" s="8"/>
      <x:c r="M74" s="8"/>
      <x:c r="N74" s="8"/>
      <x:c r="O74" s="8"/>
    </x:row>
    <x:row r="75">
      <x:c r="A75" s="8"/>
      <x:c r="B75" s="8"/>
      <x:c r="C75" s="8"/>
      <x:c r="D75" s="8"/>
      <x:c r="E75" s="8"/>
      <x:c r="F75" s="8"/>
      <x:c r="G75" s="11"/>
      <x:c r="H75" s="12"/>
      <x:c r="I75" s="12"/>
      <x:c r="J75" s="12"/>
      <x:c r="K75" s="13" t="str">
        <x:f>IF(J75="","",J75-TODAY())</x:f>
      </x:c>
      <x:c r="L75" s="8"/>
      <x:c r="M75" s="8"/>
      <x:c r="N75" s="8"/>
      <x:c r="O75" s="8"/>
    </x:row>
    <x:row r="76">
      <x:c r="A76" s="8"/>
      <x:c r="B76" s="8"/>
      <x:c r="C76" s="8"/>
      <x:c r="D76" s="8"/>
      <x:c r="E76" s="8"/>
      <x:c r="F76" s="8"/>
      <x:c r="G76" s="11"/>
      <x:c r="H76" s="12"/>
      <x:c r="I76" s="12"/>
      <x:c r="J76" s="12"/>
      <x:c r="K76" s="13" t="str">
        <x:f>IF(J76="","",J76-TODAY())</x:f>
      </x:c>
      <x:c r="L76" s="8"/>
      <x:c r="M76" s="8"/>
      <x:c r="N76" s="8"/>
      <x:c r="O76" s="8"/>
    </x:row>
    <x:row r="77">
      <x:c r="A77" s="8"/>
      <x:c r="B77" s="8"/>
      <x:c r="C77" s="8"/>
      <x:c r="D77" s="8"/>
      <x:c r="E77" s="8"/>
      <x:c r="F77" s="8"/>
      <x:c r="G77" s="11"/>
      <x:c r="H77" s="12"/>
      <x:c r="I77" s="12"/>
      <x:c r="J77" s="12"/>
      <x:c r="K77" s="13" t="str">
        <x:f>IF(J77="","",J77-TODAY())</x:f>
      </x:c>
      <x:c r="L77" s="8"/>
      <x:c r="M77" s="8"/>
      <x:c r="N77" s="8"/>
      <x:c r="O77" s="8"/>
    </x:row>
    <x:row r="78">
      <x:c r="A78" s="8"/>
      <x:c r="B78" s="8"/>
      <x:c r="C78" s="8"/>
      <x:c r="D78" s="8"/>
      <x:c r="E78" s="8"/>
      <x:c r="F78" s="8"/>
      <x:c r="G78" s="11"/>
      <x:c r="H78" s="12"/>
      <x:c r="I78" s="12"/>
      <x:c r="J78" s="12"/>
      <x:c r="K78" s="13" t="str">
        <x:f>IF(J78="","",J78-TODAY())</x:f>
      </x:c>
      <x:c r="L78" s="8"/>
      <x:c r="M78" s="8"/>
      <x:c r="N78" s="8"/>
      <x:c r="O78" s="8"/>
    </x:row>
    <x:row r="79">
      <x:c r="A79" s="8"/>
      <x:c r="B79" s="8"/>
      <x:c r="C79" s="8"/>
      <x:c r="D79" s="8"/>
      <x:c r="E79" s="8"/>
      <x:c r="F79" s="8"/>
      <x:c r="G79" s="11"/>
      <x:c r="H79" s="12"/>
      <x:c r="I79" s="12"/>
      <x:c r="J79" s="12"/>
      <x:c r="K79" s="13" t="str">
        <x:f>IF(J79="","",J79-TODAY())</x:f>
      </x:c>
      <x:c r="L79" s="8"/>
      <x:c r="M79" s="8"/>
      <x:c r="N79" s="8"/>
      <x:c r="O79" s="8"/>
    </x:row>
    <x:row r="80">
      <x:c r="A80" s="8"/>
      <x:c r="B80" s="8"/>
      <x:c r="C80" s="8"/>
      <x:c r="D80" s="8"/>
      <x:c r="E80" s="8"/>
      <x:c r="F80" s="8"/>
      <x:c r="G80" s="11"/>
      <x:c r="H80" s="12"/>
      <x:c r="I80" s="12"/>
      <x:c r="J80" s="12"/>
      <x:c r="K80" s="13" t="str">
        <x:f>IF(J80="","",J80-TODAY())</x:f>
      </x:c>
      <x:c r="L80" s="8"/>
      <x:c r="M80" s="8"/>
      <x:c r="N80" s="8"/>
      <x:c r="O80" s="8"/>
    </x:row>
    <x:row r="81">
      <x:c r="A81" s="8"/>
      <x:c r="B81" s="8"/>
      <x:c r="C81" s="8"/>
      <x:c r="D81" s="8"/>
      <x:c r="E81" s="8"/>
      <x:c r="F81" s="8"/>
      <x:c r="G81" s="11"/>
      <x:c r="H81" s="12"/>
      <x:c r="I81" s="12"/>
      <x:c r="J81" s="12"/>
      <x:c r="K81" s="13" t="str">
        <x:f>IF(J81="","",J81-TODAY())</x:f>
      </x:c>
      <x:c r="L81" s="8"/>
      <x:c r="M81" s="8"/>
      <x:c r="N81" s="8"/>
      <x:c r="O81" s="8"/>
    </x:row>
    <x:row r="82">
      <x:c r="A82" s="8"/>
      <x:c r="B82" s="8"/>
      <x:c r="C82" s="8"/>
      <x:c r="D82" s="8"/>
      <x:c r="E82" s="8"/>
      <x:c r="F82" s="8"/>
      <x:c r="G82" s="11"/>
      <x:c r="H82" s="12"/>
      <x:c r="I82" s="12"/>
      <x:c r="J82" s="12"/>
      <x:c r="K82" s="13" t="str">
        <x:f>IF(J82="","",J82-TODAY())</x:f>
      </x:c>
      <x:c r="L82" s="8"/>
      <x:c r="M82" s="8"/>
      <x:c r="N82" s="8"/>
      <x:c r="O82" s="8"/>
    </x:row>
    <x:row r="83">
      <x:c r="A83" s="8"/>
      <x:c r="B83" s="8"/>
      <x:c r="C83" s="8"/>
      <x:c r="D83" s="8"/>
      <x:c r="E83" s="8"/>
      <x:c r="F83" s="8"/>
      <x:c r="G83" s="11"/>
      <x:c r="H83" s="12"/>
      <x:c r="I83" s="12"/>
      <x:c r="J83" s="12"/>
      <x:c r="K83" s="13" t="str">
        <x:f>IF(J83="","",J83-TODAY())</x:f>
      </x:c>
      <x:c r="L83" s="8"/>
      <x:c r="M83" s="8"/>
      <x:c r="N83" s="8"/>
      <x:c r="O83" s="8"/>
    </x:row>
    <x:row r="84">
      <x:c r="A84" s="8"/>
      <x:c r="B84" s="8"/>
      <x:c r="C84" s="8"/>
      <x:c r="D84" s="8"/>
      <x:c r="E84" s="8"/>
      <x:c r="F84" s="8"/>
      <x:c r="G84" s="11"/>
      <x:c r="H84" s="12"/>
      <x:c r="I84" s="12"/>
      <x:c r="J84" s="12"/>
      <x:c r="K84" s="13" t="str">
        <x:f>IF(J84="","",J84-TODAY())</x:f>
      </x:c>
      <x:c r="L84" s="8"/>
      <x:c r="M84" s="8"/>
      <x:c r="N84" s="8"/>
      <x:c r="O84" s="8"/>
    </x:row>
    <x:row r="85">
      <x:c r="A85" s="8"/>
      <x:c r="B85" s="8"/>
      <x:c r="C85" s="8"/>
      <x:c r="D85" s="8"/>
      <x:c r="E85" s="8"/>
      <x:c r="F85" s="8"/>
      <x:c r="G85" s="11"/>
      <x:c r="H85" s="12"/>
      <x:c r="I85" s="12"/>
      <x:c r="J85" s="12"/>
      <x:c r="K85" s="13" t="str">
        <x:f>IF(J85="","",J85-TODAY())</x:f>
      </x:c>
      <x:c r="L85" s="8"/>
      <x:c r="M85" s="8"/>
      <x:c r="N85" s="8"/>
      <x:c r="O85" s="8"/>
    </x:row>
    <x:row r="86">
      <x:c r="A86" s="8"/>
      <x:c r="B86" s="8"/>
      <x:c r="C86" s="8"/>
      <x:c r="D86" s="8"/>
      <x:c r="E86" s="8"/>
      <x:c r="F86" s="8"/>
      <x:c r="G86" s="11"/>
      <x:c r="H86" s="12"/>
      <x:c r="I86" s="12"/>
      <x:c r="J86" s="12"/>
      <x:c r="K86" s="13" t="str">
        <x:f>IF(J86="","",J86-TODAY())</x:f>
      </x:c>
      <x:c r="L86" s="8"/>
      <x:c r="M86" s="8"/>
      <x:c r="N86" s="8"/>
      <x:c r="O86" s="8"/>
    </x:row>
    <x:row r="87">
      <x:c r="A87" s="8"/>
      <x:c r="B87" s="8"/>
      <x:c r="C87" s="8"/>
      <x:c r="D87" s="8"/>
      <x:c r="E87" s="8"/>
      <x:c r="F87" s="8"/>
      <x:c r="G87" s="11"/>
      <x:c r="H87" s="12"/>
      <x:c r="I87" s="12"/>
      <x:c r="J87" s="12"/>
      <x:c r="K87" s="13" t="str">
        <x:f>IF(J87="","",J87-TODAY())</x:f>
      </x:c>
      <x:c r="L87" s="8"/>
      <x:c r="M87" s="8"/>
      <x:c r="N87" s="8"/>
      <x:c r="O87" s="8"/>
    </x:row>
    <x:row r="88">
      <x:c r="A88" s="8"/>
      <x:c r="B88" s="8"/>
      <x:c r="C88" s="8"/>
      <x:c r="D88" s="8"/>
      <x:c r="E88" s="8"/>
      <x:c r="F88" s="8"/>
      <x:c r="G88" s="11"/>
      <x:c r="H88" s="12"/>
      <x:c r="I88" s="12"/>
      <x:c r="J88" s="12"/>
      <x:c r="K88" s="13" t="str">
        <x:f>IF(J88="","",J88-TODAY())</x:f>
      </x:c>
      <x:c r="L88" s="8"/>
      <x:c r="M88" s="8"/>
      <x:c r="N88" s="8"/>
      <x:c r="O88" s="8"/>
    </x:row>
    <x:row r="89">
      <x:c r="A89" s="8"/>
      <x:c r="B89" s="8"/>
      <x:c r="C89" s="8"/>
      <x:c r="D89" s="8"/>
      <x:c r="E89" s="8"/>
      <x:c r="F89" s="8"/>
      <x:c r="G89" s="11"/>
      <x:c r="H89" s="12"/>
      <x:c r="I89" s="12"/>
      <x:c r="J89" s="12"/>
      <x:c r="K89" s="13" t="str">
        <x:f>IF(J89="","",J89-TODAY())</x:f>
      </x:c>
      <x:c r="L89" s="8"/>
      <x:c r="M89" s="8"/>
      <x:c r="N89" s="8"/>
      <x:c r="O89" s="8"/>
    </x:row>
    <x:row r="90">
      <x:c r="A90" s="8"/>
      <x:c r="B90" s="8"/>
      <x:c r="C90" s="8"/>
      <x:c r="D90" s="8"/>
      <x:c r="E90" s="8"/>
      <x:c r="F90" s="8"/>
      <x:c r="G90" s="11"/>
      <x:c r="H90" s="12"/>
      <x:c r="I90" s="12"/>
      <x:c r="J90" s="12"/>
      <x:c r="K90" s="13" t="str">
        <x:f>IF(J90="","",J90-TODAY())</x:f>
      </x:c>
      <x:c r="L90" s="8"/>
      <x:c r="M90" s="8"/>
      <x:c r="N90" s="8"/>
      <x:c r="O90" s="8"/>
    </x:row>
    <x:row r="91">
      <x:c r="A91" s="8"/>
      <x:c r="B91" s="8"/>
      <x:c r="C91" s="8"/>
      <x:c r="D91" s="8"/>
      <x:c r="E91" s="8"/>
      <x:c r="F91" s="8"/>
      <x:c r="G91" s="11"/>
      <x:c r="H91" s="12"/>
      <x:c r="I91" s="12"/>
      <x:c r="J91" s="12"/>
      <x:c r="K91" s="13" t="str">
        <x:f>IF(J91="","",J91-TODAY())</x:f>
      </x:c>
      <x:c r="L91" s="8"/>
      <x:c r="M91" s="8"/>
      <x:c r="N91" s="8"/>
      <x:c r="O91" s="8"/>
    </x:row>
    <x:row r="92">
      <x:c r="A92" s="8"/>
      <x:c r="B92" s="8"/>
      <x:c r="C92" s="8"/>
      <x:c r="D92" s="8"/>
      <x:c r="E92" s="8"/>
      <x:c r="F92" s="8"/>
      <x:c r="G92" s="11"/>
      <x:c r="H92" s="12"/>
      <x:c r="I92" s="12"/>
      <x:c r="J92" s="12"/>
      <x:c r="K92" s="13" t="str">
        <x:f>IF(J92="","",J92-TODAY())</x:f>
      </x:c>
      <x:c r="L92" s="8"/>
      <x:c r="M92" s="8"/>
      <x:c r="N92" s="8"/>
      <x:c r="O92" s="8"/>
    </x:row>
    <x:row r="93">
      <x:c r="A93" s="8"/>
      <x:c r="B93" s="8"/>
      <x:c r="C93" s="8"/>
      <x:c r="D93" s="8"/>
      <x:c r="E93" s="8"/>
      <x:c r="F93" s="8"/>
      <x:c r="G93" s="11"/>
      <x:c r="H93" s="12"/>
      <x:c r="I93" s="12"/>
      <x:c r="J93" s="12"/>
      <x:c r="K93" s="13" t="str">
        <x:f>IF(J93="","",J93-TODAY())</x:f>
      </x:c>
      <x:c r="L93" s="8"/>
      <x:c r="M93" s="8"/>
      <x:c r="N93" s="8"/>
      <x:c r="O93" s="8"/>
    </x:row>
    <x:row r="94">
      <x:c r="A94" s="8"/>
      <x:c r="B94" s="8"/>
      <x:c r="C94" s="8"/>
      <x:c r="D94" s="8"/>
      <x:c r="E94" s="8"/>
      <x:c r="F94" s="8"/>
      <x:c r="G94" s="11"/>
      <x:c r="H94" s="12"/>
      <x:c r="I94" s="12"/>
      <x:c r="J94" s="12"/>
      <x:c r="K94" s="13" t="str">
        <x:f>IF(J94="","",J94-TODAY())</x:f>
      </x:c>
      <x:c r="L94" s="8"/>
      <x:c r="M94" s="8"/>
      <x:c r="N94" s="8"/>
      <x:c r="O94" s="8"/>
    </x:row>
    <x:row r="95">
      <x:c r="A95" s="8"/>
      <x:c r="B95" s="8"/>
      <x:c r="C95" s="8"/>
      <x:c r="D95" s="8"/>
      <x:c r="E95" s="8"/>
      <x:c r="F95" s="8"/>
      <x:c r="G95" s="11"/>
      <x:c r="H95" s="12"/>
      <x:c r="I95" s="12"/>
      <x:c r="J95" s="12"/>
      <x:c r="K95" s="13" t="str">
        <x:f>IF(J95="","",J95-TODAY())</x:f>
      </x:c>
      <x:c r="L95" s="8"/>
      <x:c r="M95" s="8"/>
      <x:c r="N95" s="8"/>
      <x:c r="O95" s="8"/>
    </x:row>
    <x:row r="96">
      <x:c r="A96" s="8"/>
      <x:c r="B96" s="8"/>
      <x:c r="C96" s="8"/>
      <x:c r="D96" s="8"/>
      <x:c r="E96" s="8"/>
      <x:c r="F96" s="8"/>
      <x:c r="G96" s="11"/>
      <x:c r="H96" s="12"/>
      <x:c r="I96" s="12"/>
      <x:c r="J96" s="12"/>
      <x:c r="K96" s="13" t="str">
        <x:f>IF(J96="","",J96-TODAY())</x:f>
      </x:c>
      <x:c r="L96" s="8"/>
      <x:c r="M96" s="8"/>
      <x:c r="N96" s="8"/>
      <x:c r="O96" s="8"/>
    </x:row>
    <x:row r="97">
      <x:c r="A97" s="8"/>
      <x:c r="B97" s="8"/>
      <x:c r="C97" s="8"/>
      <x:c r="D97" s="8"/>
      <x:c r="E97" s="8"/>
      <x:c r="F97" s="8"/>
      <x:c r="G97" s="11"/>
      <x:c r="H97" s="12"/>
      <x:c r="I97" s="12"/>
      <x:c r="J97" s="12"/>
      <x:c r="K97" s="13" t="str">
        <x:f>IF(J97="","",J97-TODAY())</x:f>
      </x:c>
      <x:c r="L97" s="8"/>
      <x:c r="M97" s="8"/>
      <x:c r="N97" s="8"/>
      <x:c r="O97" s="8"/>
    </x:row>
    <x:row r="98">
      <x:c r="A98" s="8"/>
      <x:c r="B98" s="8"/>
      <x:c r="C98" s="8"/>
      <x:c r="D98" s="8"/>
      <x:c r="E98" s="8"/>
      <x:c r="F98" s="8"/>
      <x:c r="G98" s="11"/>
      <x:c r="H98" s="12"/>
      <x:c r="I98" s="12"/>
      <x:c r="J98" s="12"/>
      <x:c r="K98" s="13" t="str">
        <x:f>IF(J98="","",J98-TODAY())</x:f>
      </x:c>
      <x:c r="L98" s="8"/>
      <x:c r="M98" s="8"/>
      <x:c r="N98" s="8"/>
      <x:c r="O98" s="8"/>
    </x:row>
    <x:row r="99">
      <x:c r="A99" s="8"/>
      <x:c r="B99" s="8"/>
      <x:c r="C99" s="8"/>
      <x:c r="D99" s="8"/>
      <x:c r="E99" s="8"/>
      <x:c r="F99" s="8"/>
      <x:c r="G99" s="11"/>
      <x:c r="H99" s="12"/>
      <x:c r="I99" s="12"/>
      <x:c r="J99" s="12"/>
      <x:c r="K99" s="13" t="str">
        <x:f>IF(J99="","",J99-TODAY())</x:f>
      </x:c>
      <x:c r="L99" s="8"/>
      <x:c r="M99" s="8"/>
      <x:c r="N99" s="8"/>
      <x:c r="O99" s="8"/>
    </x:row>
    <x:row r="100">
      <x:c r="A100" s="8"/>
      <x:c r="B100" s="8"/>
      <x:c r="C100" s="8"/>
      <x:c r="D100" s="8"/>
      <x:c r="E100" s="8"/>
      <x:c r="F100" s="8"/>
      <x:c r="G100" s="11"/>
      <x:c r="H100" s="12"/>
      <x:c r="I100" s="12"/>
      <x:c r="J100" s="12"/>
      <x:c r="K100" s="13" t="str">
        <x:f>IF(J100="","",J100-TODAY())</x:f>
      </x:c>
      <x:c r="L100" s="8"/>
      <x:c r="M100" s="8"/>
      <x:c r="N100" s="8"/>
      <x:c r="O100" s="8"/>
    </x:row>
    <x:row r="101">
      <x:c r="A101" s="8"/>
      <x:c r="B101" s="8"/>
      <x:c r="C101" s="8"/>
      <x:c r="D101" s="8"/>
      <x:c r="E101" s="8"/>
      <x:c r="F101" s="8"/>
      <x:c r="G101" s="11"/>
      <x:c r="H101" s="12"/>
      <x:c r="I101" s="12"/>
      <x:c r="J101" s="12"/>
      <x:c r="K101" s="13" t="str">
        <x:f>IF(J101="","",J101-TODAY())</x:f>
      </x:c>
      <x:c r="L101" s="8"/>
      <x:c r="M101" s="8"/>
      <x:c r="N101" s="8"/>
      <x:c r="O101" s="8"/>
    </x:row>
    <x:row r="102">
      <x:c r="A102" s="8"/>
      <x:c r="B102" s="8"/>
      <x:c r="C102" s="8"/>
      <x:c r="D102" s="8"/>
      <x:c r="E102" s="8"/>
      <x:c r="F102" s="8"/>
      <x:c r="G102" s="11"/>
      <x:c r="H102" s="12"/>
      <x:c r="I102" s="12"/>
      <x:c r="J102" s="12"/>
      <x:c r="K102" s="13" t="str">
        <x:f>IF(J102="","",J102-TODAY())</x:f>
      </x:c>
      <x:c r="L102" s="8"/>
      <x:c r="M102" s="8"/>
      <x:c r="N102" s="8"/>
      <x:c r="O102" s="8"/>
    </x:row>
    <x:row r="103">
      <x:c r="A103" s="8"/>
      <x:c r="B103" s="8"/>
      <x:c r="C103" s="8"/>
      <x:c r="D103" s="8"/>
      <x:c r="E103" s="8"/>
      <x:c r="F103" s="8"/>
      <x:c r="G103" s="11"/>
      <x:c r="H103" s="12"/>
      <x:c r="I103" s="12"/>
      <x:c r="J103" s="12"/>
      <x:c r="K103" s="13" t="str">
        <x:f>IF(J103="","",J103-TODAY())</x:f>
      </x:c>
      <x:c r="L103" s="8"/>
      <x:c r="M103" s="8"/>
      <x:c r="N103" s="8"/>
      <x:c r="O103" s="8"/>
    </x:row>
    <x:row r="104">
      <x:c r="A104" s="8"/>
      <x:c r="B104" s="8"/>
      <x:c r="C104" s="8"/>
      <x:c r="D104" s="8"/>
      <x:c r="E104" s="8"/>
      <x:c r="F104" s="8"/>
      <x:c r="G104" s="11"/>
      <x:c r="H104" s="12"/>
      <x:c r="I104" s="12"/>
      <x:c r="J104" s="12"/>
      <x:c r="K104" s="13" t="str">
        <x:f>IF(J104="","",J104-TODAY())</x:f>
      </x:c>
      <x:c r="L104" s="8"/>
      <x:c r="M104" s="8"/>
      <x:c r="N104" s="8"/>
      <x:c r="O104" s="8"/>
    </x:row>
    <x:row r="105">
      <x:c r="A105" s="8"/>
      <x:c r="B105" s="8"/>
      <x:c r="C105" s="8"/>
      <x:c r="D105" s="8"/>
      <x:c r="E105" s="8"/>
      <x:c r="F105" s="8"/>
      <x:c r="G105" s="11"/>
      <x:c r="H105" s="12"/>
      <x:c r="I105" s="12"/>
      <x:c r="J105" s="12"/>
      <x:c r="K105" s="13" t="str">
        <x:f>IF(J105="","",J105-TODAY())</x:f>
      </x:c>
      <x:c r="L105" s="8"/>
      <x:c r="M105" s="8"/>
      <x:c r="N105" s="8"/>
      <x:c r="O105" s="8"/>
    </x:row>
    <x:row r="106">
      <x:c r="A106" s="8"/>
      <x:c r="B106" s="8"/>
      <x:c r="C106" s="8"/>
      <x:c r="D106" s="8"/>
      <x:c r="E106" s="8"/>
      <x:c r="F106" s="8"/>
      <x:c r="G106" s="11"/>
      <x:c r="H106" s="12"/>
      <x:c r="I106" s="12"/>
      <x:c r="J106" s="12"/>
      <x:c r="K106" s="13" t="str">
        <x:f>IF(J106="","",J106-TODAY())</x:f>
      </x:c>
      <x:c r="L106" s="8"/>
      <x:c r="M106" s="8"/>
      <x:c r="N106" s="8"/>
      <x:c r="O106" s="8"/>
    </x:row>
    <x:row r="107">
      <x:c r="A107" s="8"/>
      <x:c r="B107" s="8"/>
      <x:c r="C107" s="8"/>
      <x:c r="D107" s="8"/>
      <x:c r="E107" s="8"/>
      <x:c r="F107" s="8"/>
      <x:c r="G107" s="11"/>
      <x:c r="H107" s="12"/>
      <x:c r="I107" s="12"/>
      <x:c r="J107" s="12"/>
      <x:c r="K107" s="13" t="str">
        <x:f>IF(J107="","",J107-TODAY())</x:f>
      </x:c>
      <x:c r="L107" s="8"/>
      <x:c r="M107" s="8"/>
      <x:c r="N107" s="8"/>
      <x:c r="O107" s="8"/>
    </x:row>
    <x:row r="108">
      <x:c r="A108" s="8"/>
      <x:c r="B108" s="8"/>
      <x:c r="C108" s="8"/>
      <x:c r="D108" s="8"/>
      <x:c r="E108" s="8"/>
      <x:c r="F108" s="8"/>
      <x:c r="G108" s="11"/>
      <x:c r="H108" s="12"/>
      <x:c r="I108" s="12"/>
      <x:c r="J108" s="12"/>
      <x:c r="K108" s="13" t="str">
        <x:f>IF(J108="","",J108-TODAY())</x:f>
      </x:c>
      <x:c r="L108" s="8"/>
      <x:c r="M108" s="8"/>
      <x:c r="N108" s="8"/>
      <x:c r="O108" s="8"/>
    </x:row>
    <x:row r="109">
      <x:c r="A109" s="8"/>
      <x:c r="B109" s="8"/>
      <x:c r="C109" s="8"/>
      <x:c r="D109" s="8"/>
      <x:c r="E109" s="8"/>
      <x:c r="F109" s="8"/>
      <x:c r="G109" s="11"/>
      <x:c r="H109" s="12"/>
      <x:c r="I109" s="12"/>
      <x:c r="J109" s="12"/>
      <x:c r="K109" s="13" t="str">
        <x:f>IF(J109="","",J109-TODAY())</x:f>
      </x:c>
      <x:c r="L109" s="8"/>
      <x:c r="M109" s="8"/>
      <x:c r="N109" s="8"/>
      <x:c r="O109" s="8"/>
    </x:row>
    <x:row r="110">
      <x:c r="A110" s="8"/>
      <x:c r="B110" s="8"/>
      <x:c r="C110" s="8"/>
      <x:c r="D110" s="8"/>
      <x:c r="E110" s="8"/>
      <x:c r="F110" s="8"/>
      <x:c r="G110" s="11"/>
      <x:c r="H110" s="12"/>
      <x:c r="I110" s="12"/>
      <x:c r="J110" s="12"/>
      <x:c r="K110" s="13" t="str">
        <x:f>IF(J110="","",J110-TODAY())</x:f>
      </x:c>
      <x:c r="L110" s="8"/>
      <x:c r="M110" s="8"/>
      <x:c r="N110" s="8"/>
      <x:c r="O110" s="8"/>
    </x:row>
    <x:row r="111">
      <x:c r="A111" s="8"/>
      <x:c r="B111" s="8"/>
      <x:c r="C111" s="8"/>
      <x:c r="D111" s="8"/>
      <x:c r="E111" s="8"/>
      <x:c r="F111" s="8"/>
      <x:c r="G111" s="11"/>
      <x:c r="H111" s="12"/>
      <x:c r="I111" s="12"/>
      <x:c r="J111" s="12"/>
      <x:c r="K111" s="13" t="str">
        <x:f>IF(J111="","",J111-TODAY())</x:f>
      </x:c>
      <x:c r="L111" s="8"/>
      <x:c r="M111" s="8"/>
      <x:c r="N111" s="8"/>
      <x:c r="O111" s="8"/>
    </x:row>
    <x:row r="112">
      <x:c r="A112" s="8"/>
      <x:c r="B112" s="8"/>
      <x:c r="C112" s="8"/>
      <x:c r="D112" s="8"/>
      <x:c r="E112" s="8"/>
      <x:c r="F112" s="8"/>
      <x:c r="G112" s="11"/>
      <x:c r="H112" s="12"/>
      <x:c r="I112" s="12"/>
      <x:c r="J112" s="12"/>
      <x:c r="K112" s="13" t="str">
        <x:f>IF(J112="","",J112-TODAY())</x:f>
      </x:c>
      <x:c r="L112" s="8"/>
      <x:c r="M112" s="8"/>
      <x:c r="N112" s="8"/>
      <x:c r="O112" s="8"/>
    </x:row>
    <x:row r="113">
      <x:c r="A113" s="8"/>
      <x:c r="B113" s="8"/>
      <x:c r="C113" s="8"/>
      <x:c r="D113" s="8"/>
      <x:c r="E113" s="8"/>
      <x:c r="F113" s="8"/>
      <x:c r="G113" s="11"/>
      <x:c r="H113" s="12"/>
      <x:c r="I113" s="12"/>
      <x:c r="J113" s="12"/>
      <x:c r="K113" s="13" t="str">
        <x:f>IF(J113="","",J113-TODAY())</x:f>
      </x:c>
      <x:c r="L113" s="8"/>
      <x:c r="M113" s="8"/>
      <x:c r="N113" s="8"/>
      <x:c r="O113" s="8"/>
    </x:row>
    <x:row r="114">
      <x:c r="A114" s="8"/>
      <x:c r="B114" s="8"/>
      <x:c r="C114" s="8"/>
      <x:c r="D114" s="8"/>
      <x:c r="E114" s="8"/>
      <x:c r="F114" s="8"/>
      <x:c r="G114" s="11"/>
      <x:c r="H114" s="12"/>
      <x:c r="I114" s="12"/>
      <x:c r="J114" s="12"/>
      <x:c r="K114" s="13" t="str">
        <x:f>IF(J114="","",J114-TODAY())</x:f>
      </x:c>
      <x:c r="L114" s="8"/>
      <x:c r="M114" s="8"/>
      <x:c r="N114" s="8"/>
      <x:c r="O114" s="8"/>
    </x:row>
    <x:row r="115">
      <x:c r="A115" s="8"/>
      <x:c r="B115" s="8"/>
      <x:c r="C115" s="8"/>
      <x:c r="D115" s="8"/>
      <x:c r="E115" s="8"/>
      <x:c r="F115" s="8"/>
      <x:c r="G115" s="11"/>
      <x:c r="H115" s="12"/>
      <x:c r="I115" s="12"/>
      <x:c r="J115" s="12"/>
      <x:c r="K115" s="13" t="str">
        <x:f>IF(J115="","",J115-TODAY())</x:f>
      </x:c>
      <x:c r="L115" s="8"/>
      <x:c r="M115" s="8"/>
      <x:c r="N115" s="8"/>
      <x:c r="O115" s="8"/>
    </x:row>
    <x:row r="116">
      <x:c r="A116" s="8"/>
      <x:c r="B116" s="8"/>
      <x:c r="C116" s="8"/>
      <x:c r="D116" s="8"/>
      <x:c r="E116" s="8"/>
      <x:c r="F116" s="8"/>
      <x:c r="G116" s="11"/>
      <x:c r="H116" s="12"/>
      <x:c r="I116" s="12"/>
      <x:c r="J116" s="12"/>
      <x:c r="K116" s="13" t="str">
        <x:f>IF(J116="","",J116-TODAY())</x:f>
      </x:c>
      <x:c r="L116" s="8"/>
      <x:c r="M116" s="8"/>
      <x:c r="N116" s="8"/>
      <x:c r="O116" s="8"/>
    </x:row>
    <x:row r="117">
      <x:c r="A117" s="8"/>
      <x:c r="B117" s="8"/>
      <x:c r="C117" s="8"/>
      <x:c r="D117" s="8"/>
      <x:c r="E117" s="8"/>
      <x:c r="F117" s="8"/>
      <x:c r="G117" s="11"/>
      <x:c r="H117" s="12"/>
      <x:c r="I117" s="12"/>
      <x:c r="J117" s="12"/>
      <x:c r="K117" s="13" t="str">
        <x:f>IF(J117="","",J117-TODAY())</x:f>
      </x:c>
      <x:c r="L117" s="8"/>
      <x:c r="M117" s="8"/>
      <x:c r="N117" s="8"/>
      <x:c r="O117" s="8"/>
    </x:row>
    <x:row r="118">
      <x:c r="A118" s="8"/>
      <x:c r="B118" s="8"/>
      <x:c r="C118" s="8"/>
      <x:c r="D118" s="8"/>
      <x:c r="E118" s="8"/>
      <x:c r="F118" s="8"/>
      <x:c r="G118" s="11"/>
      <x:c r="H118" s="12"/>
      <x:c r="I118" s="12"/>
      <x:c r="J118" s="12"/>
      <x:c r="K118" s="13" t="str">
        <x:f>IF(J118="","",J118-TODAY())</x:f>
      </x:c>
      <x:c r="L118" s="8"/>
      <x:c r="M118" s="8"/>
      <x:c r="N118" s="8"/>
      <x:c r="O118" s="8"/>
    </x:row>
    <x:row r="119">
      <x:c r="A119" s="8"/>
      <x:c r="B119" s="8"/>
      <x:c r="C119" s="8"/>
      <x:c r="D119" s="8"/>
      <x:c r="E119" s="8"/>
      <x:c r="F119" s="8"/>
      <x:c r="G119" s="11"/>
      <x:c r="H119" s="12"/>
      <x:c r="I119" s="12"/>
      <x:c r="J119" s="12"/>
      <x:c r="K119" s="13" t="str">
        <x:f>IF(J119="","",J119-TODAY())</x:f>
      </x:c>
      <x:c r="L119" s="8"/>
      <x:c r="M119" s="8"/>
      <x:c r="N119" s="8"/>
      <x:c r="O119" s="8"/>
    </x:row>
    <x:row r="120">
      <x:c r="A120" s="8"/>
      <x:c r="B120" s="8"/>
      <x:c r="C120" s="8"/>
      <x:c r="D120" s="8"/>
      <x:c r="E120" s="8"/>
      <x:c r="F120" s="8"/>
      <x:c r="G120" s="11"/>
      <x:c r="H120" s="12"/>
      <x:c r="I120" s="12"/>
      <x:c r="J120" s="12"/>
      <x:c r="K120" s="13" t="str">
        <x:f>IF(J120="","",J120-TODAY())</x:f>
      </x:c>
      <x:c r="L120" s="8"/>
      <x:c r="M120" s="8"/>
      <x:c r="N120" s="8"/>
      <x:c r="O120" s="8"/>
    </x:row>
    <x:row r="121">
      <x:c r="A121" s="8"/>
      <x:c r="B121" s="8"/>
      <x:c r="C121" s="8"/>
      <x:c r="D121" s="8"/>
      <x:c r="E121" s="8"/>
      <x:c r="F121" s="8"/>
      <x:c r="G121" s="11"/>
      <x:c r="H121" s="12"/>
      <x:c r="I121" s="12"/>
      <x:c r="J121" s="12"/>
      <x:c r="K121" s="13" t="str">
        <x:f>IF(J121="","",J121-TODAY())</x:f>
      </x:c>
      <x:c r="L121" s="8"/>
      <x:c r="M121" s="8"/>
      <x:c r="N121" s="8"/>
      <x:c r="O121" s="8"/>
    </x:row>
    <x:row r="122">
      <x:c r="A122" s="8"/>
      <x:c r="B122" s="8"/>
      <x:c r="C122" s="8"/>
      <x:c r="D122" s="8"/>
      <x:c r="E122" s="8"/>
      <x:c r="F122" s="8"/>
      <x:c r="G122" s="11"/>
      <x:c r="H122" s="12"/>
      <x:c r="I122" s="12"/>
      <x:c r="J122" s="12"/>
      <x:c r="K122" s="13" t="str">
        <x:f>IF(J122="","",J122-TODAY())</x:f>
      </x:c>
      <x:c r="L122" s="8"/>
      <x:c r="M122" s="8"/>
      <x:c r="N122" s="8"/>
      <x:c r="O122" s="8"/>
    </x:row>
    <x:row r="123">
      <x:c r="A123" s="8"/>
      <x:c r="B123" s="8"/>
      <x:c r="C123" s="8"/>
      <x:c r="D123" s="8"/>
      <x:c r="E123" s="8"/>
      <x:c r="F123" s="8"/>
      <x:c r="G123" s="11"/>
      <x:c r="H123" s="12"/>
      <x:c r="I123" s="12"/>
      <x:c r="J123" s="12"/>
      <x:c r="K123" s="13" t="str">
        <x:f>IF(J123="","",J123-TODAY())</x:f>
      </x:c>
      <x:c r="L123" s="8"/>
      <x:c r="M123" s="8"/>
      <x:c r="N123" s="8"/>
      <x:c r="O123" s="8"/>
    </x:row>
    <x:row r="124">
      <x:c r="A124" s="8"/>
      <x:c r="B124" s="8"/>
      <x:c r="C124" s="8"/>
      <x:c r="D124" s="8"/>
      <x:c r="E124" s="8"/>
      <x:c r="F124" s="8"/>
      <x:c r="G124" s="11"/>
      <x:c r="H124" s="12"/>
      <x:c r="I124" s="12"/>
      <x:c r="J124" s="12"/>
      <x:c r="K124" s="13" t="str">
        <x:f>IF(J124="","",J124-TODAY())</x:f>
      </x:c>
      <x:c r="L124" s="8"/>
      <x:c r="M124" s="8"/>
      <x:c r="N124" s="8"/>
      <x:c r="O124" s="8"/>
    </x:row>
    <x:row r="125">
      <x:c r="A125" s="8"/>
      <x:c r="B125" s="8"/>
      <x:c r="C125" s="8"/>
      <x:c r="D125" s="8"/>
      <x:c r="E125" s="8"/>
      <x:c r="F125" s="8"/>
      <x:c r="G125" s="11"/>
      <x:c r="H125" s="12"/>
      <x:c r="I125" s="12"/>
      <x:c r="J125" s="12"/>
      <x:c r="K125" s="13" t="str">
        <x:f>IF(J125="","",J125-TODAY())</x:f>
      </x:c>
      <x:c r="L125" s="8"/>
      <x:c r="M125" s="8"/>
      <x:c r="N125" s="8"/>
      <x:c r="O125" s="8"/>
    </x:row>
    <x:row r="126">
      <x:c r="A126" s="8"/>
      <x:c r="B126" s="8"/>
      <x:c r="C126" s="8"/>
      <x:c r="D126" s="8"/>
      <x:c r="E126" s="8"/>
      <x:c r="F126" s="8"/>
      <x:c r="G126" s="11"/>
      <x:c r="H126" s="12"/>
      <x:c r="I126" s="12"/>
      <x:c r="J126" s="12"/>
      <x:c r="K126" s="13" t="str">
        <x:f>IF(J126="","",J126-TODAY())</x:f>
      </x:c>
      <x:c r="L126" s="8"/>
      <x:c r="M126" s="8"/>
      <x:c r="N126" s="8"/>
      <x:c r="O126" s="8"/>
    </x:row>
    <x:row r="127">
      <x:c r="A127" s="8"/>
      <x:c r="B127" s="8"/>
      <x:c r="C127" s="8"/>
      <x:c r="D127" s="8"/>
      <x:c r="E127" s="8"/>
      <x:c r="F127" s="8"/>
      <x:c r="G127" s="11"/>
      <x:c r="H127" s="12"/>
      <x:c r="I127" s="12"/>
      <x:c r="J127" s="12"/>
      <x:c r="K127" s="13" t="str">
        <x:f>IF(J127="","",J127-TODAY())</x:f>
      </x:c>
      <x:c r="L127" s="8"/>
      <x:c r="M127" s="8"/>
      <x:c r="N127" s="8"/>
      <x:c r="O127" s="8"/>
    </x:row>
    <x:row r="128">
      <x:c r="A128" s="8"/>
      <x:c r="B128" s="8"/>
      <x:c r="C128" s="8"/>
      <x:c r="D128" s="8"/>
      <x:c r="E128" s="8"/>
      <x:c r="F128" s="8"/>
      <x:c r="G128" s="11"/>
      <x:c r="H128" s="12"/>
      <x:c r="I128" s="12"/>
      <x:c r="J128" s="12"/>
      <x:c r="K128" s="13" t="str">
        <x:f>IF(J128="","",J128-TODAY())</x:f>
      </x:c>
      <x:c r="L128" s="8"/>
      <x:c r="M128" s="8"/>
      <x:c r="N128" s="8"/>
      <x:c r="O128" s="8"/>
    </x:row>
    <x:row r="129">
      <x:c r="A129" s="8"/>
      <x:c r="B129" s="8"/>
      <x:c r="C129" s="8"/>
      <x:c r="D129" s="8"/>
      <x:c r="E129" s="8"/>
      <x:c r="F129" s="8"/>
      <x:c r="G129" s="11"/>
      <x:c r="H129" s="12"/>
      <x:c r="I129" s="12"/>
      <x:c r="J129" s="12"/>
      <x:c r="K129" s="13" t="str">
        <x:f>IF(J129="","",J129-TODAY())</x:f>
      </x:c>
      <x:c r="L129" s="8"/>
      <x:c r="M129" s="8"/>
      <x:c r="N129" s="8"/>
      <x:c r="O129" s="8"/>
    </x:row>
    <x:row r="130">
      <x:c r="A130" s="8"/>
      <x:c r="B130" s="8"/>
      <x:c r="C130" s="8"/>
      <x:c r="D130" s="8"/>
      <x:c r="E130" s="8"/>
      <x:c r="F130" s="8"/>
      <x:c r="G130" s="11"/>
      <x:c r="H130" s="12"/>
      <x:c r="I130" s="12"/>
      <x:c r="J130" s="12"/>
      <x:c r="K130" s="13" t="str">
        <x:f>IF(J130="","",J130-TODAY())</x:f>
      </x:c>
      <x:c r="L130" s="8"/>
      <x:c r="M130" s="8"/>
      <x:c r="N130" s="8"/>
      <x:c r="O130" s="8"/>
    </x:row>
    <x:row r="131">
      <x:c r="A131" s="8"/>
      <x:c r="B131" s="8"/>
      <x:c r="C131" s="8"/>
      <x:c r="D131" s="8"/>
      <x:c r="E131" s="8"/>
      <x:c r="F131" s="8"/>
      <x:c r="G131" s="11"/>
      <x:c r="H131" s="12"/>
      <x:c r="I131" s="12"/>
      <x:c r="J131" s="12"/>
      <x:c r="K131" s="13" t="str">
        <x:f>IF(J131="","",J131-TODAY())</x:f>
      </x:c>
      <x:c r="L131" s="8"/>
      <x:c r="M131" s="8"/>
      <x:c r="N131" s="8"/>
      <x:c r="O131" s="8"/>
    </x:row>
    <x:row r="132">
      <x:c r="A132" s="8"/>
      <x:c r="B132" s="8"/>
      <x:c r="C132" s="8"/>
      <x:c r="D132" s="8"/>
      <x:c r="E132" s="8"/>
      <x:c r="F132" s="8"/>
      <x:c r="G132" s="11"/>
      <x:c r="H132" s="12"/>
      <x:c r="I132" s="12"/>
      <x:c r="J132" s="12"/>
      <x:c r="K132" s="13" t="str">
        <x:f>IF(J132="","",J132-TODAY())</x:f>
      </x:c>
      <x:c r="L132" s="8"/>
      <x:c r="M132" s="8"/>
      <x:c r="N132" s="8"/>
      <x:c r="O132" s="8"/>
    </x:row>
    <x:row r="133">
      <x:c r="A133" s="8"/>
      <x:c r="B133" s="8"/>
      <x:c r="C133" s="8"/>
      <x:c r="D133" s="8"/>
      <x:c r="E133" s="8"/>
      <x:c r="F133" s="8"/>
      <x:c r="G133" s="11"/>
      <x:c r="H133" s="12"/>
      <x:c r="I133" s="12"/>
      <x:c r="J133" s="12"/>
      <x:c r="K133" s="13" t="str">
        <x:f>IF(J133="","",J133-TODAY())</x:f>
      </x:c>
      <x:c r="L133" s="8"/>
      <x:c r="M133" s="8"/>
      <x:c r="N133" s="8"/>
      <x:c r="O133" s="8"/>
    </x:row>
    <x:row r="134">
      <x:c r="A134" s="8"/>
      <x:c r="B134" s="8"/>
      <x:c r="C134" s="8"/>
      <x:c r="D134" s="8"/>
      <x:c r="E134" s="8"/>
      <x:c r="F134" s="8"/>
      <x:c r="G134" s="11"/>
      <x:c r="H134" s="12"/>
      <x:c r="I134" s="12"/>
      <x:c r="J134" s="12"/>
      <x:c r="K134" s="13" t="str">
        <x:f>IF(J134="","",J134-TODAY())</x:f>
      </x:c>
      <x:c r="L134" s="8"/>
      <x:c r="M134" s="8"/>
      <x:c r="N134" s="8"/>
      <x:c r="O134" s="8"/>
    </x:row>
    <x:row r="135">
      <x:c r="A135" s="8"/>
      <x:c r="B135" s="8"/>
      <x:c r="C135" s="8"/>
      <x:c r="D135" s="8"/>
      <x:c r="E135" s="8"/>
      <x:c r="F135" s="8"/>
      <x:c r="G135" s="11"/>
      <x:c r="H135" s="12"/>
      <x:c r="I135" s="12"/>
      <x:c r="J135" s="12"/>
      <x:c r="K135" s="13" t="str">
        <x:f>IF(J135="","",J135-TODAY())</x:f>
      </x:c>
      <x:c r="L135" s="8"/>
      <x:c r="M135" s="8"/>
      <x:c r="N135" s="8"/>
      <x:c r="O135" s="8"/>
    </x:row>
    <x:row r="136">
      <x:c r="A136" s="8"/>
      <x:c r="B136" s="8"/>
      <x:c r="C136" s="8"/>
      <x:c r="D136" s="8"/>
      <x:c r="E136" s="8"/>
      <x:c r="F136" s="8"/>
      <x:c r="G136" s="11"/>
      <x:c r="H136" s="12"/>
      <x:c r="I136" s="12"/>
      <x:c r="J136" s="12"/>
      <x:c r="K136" s="13" t="str">
        <x:f>IF(J136="","",J136-TODAY())</x:f>
      </x:c>
      <x:c r="L136" s="8"/>
      <x:c r="M136" s="8"/>
      <x:c r="N136" s="8"/>
      <x:c r="O136" s="8"/>
    </x:row>
    <x:row r="137">
      <x:c r="A137" s="8"/>
      <x:c r="B137" s="8"/>
      <x:c r="C137" s="8"/>
      <x:c r="D137" s="8"/>
      <x:c r="E137" s="8"/>
      <x:c r="F137" s="8"/>
      <x:c r="G137" s="11"/>
      <x:c r="H137" s="12"/>
      <x:c r="I137" s="12"/>
      <x:c r="J137" s="12"/>
      <x:c r="K137" s="13" t="str">
        <x:f>IF(J137="","",J137-TODAY())</x:f>
      </x:c>
      <x:c r="L137" s="8"/>
      <x:c r="M137" s="8"/>
      <x:c r="N137" s="8"/>
      <x:c r="O137" s="8"/>
    </x:row>
    <x:row r="138">
      <x:c r="A138" s="8"/>
      <x:c r="B138" s="8"/>
      <x:c r="C138" s="8"/>
      <x:c r="D138" s="8"/>
      <x:c r="E138" s="8"/>
      <x:c r="F138" s="8"/>
      <x:c r="G138" s="11"/>
      <x:c r="H138" s="12"/>
      <x:c r="I138" s="12"/>
      <x:c r="J138" s="12"/>
      <x:c r="K138" s="13" t="str">
        <x:f>IF(J138="","",J138-TODAY())</x:f>
      </x:c>
      <x:c r="L138" s="8"/>
      <x:c r="M138" s="8"/>
      <x:c r="N138" s="8"/>
      <x:c r="O138" s="8"/>
    </x:row>
    <x:row r="139">
      <x:c r="A139" s="8"/>
      <x:c r="B139" s="8"/>
      <x:c r="C139" s="8"/>
      <x:c r="D139" s="8"/>
      <x:c r="E139" s="8"/>
      <x:c r="F139" s="8"/>
      <x:c r="G139" s="11"/>
      <x:c r="H139" s="12"/>
      <x:c r="I139" s="12"/>
      <x:c r="J139" s="12"/>
      <x:c r="K139" s="13" t="str">
        <x:f>IF(J139="","",J139-TODAY())</x:f>
      </x:c>
      <x:c r="L139" s="8"/>
      <x:c r="M139" s="8"/>
      <x:c r="N139" s="8"/>
      <x:c r="O139" s="8"/>
    </x:row>
    <x:row r="140">
      <x:c r="A140" s="8"/>
      <x:c r="B140" s="8"/>
      <x:c r="C140" s="8"/>
      <x:c r="D140" s="8"/>
      <x:c r="E140" s="8"/>
      <x:c r="F140" s="8"/>
      <x:c r="G140" s="11"/>
      <x:c r="H140" s="12"/>
      <x:c r="I140" s="12"/>
      <x:c r="J140" s="12"/>
      <x:c r="K140" s="13" t="str">
        <x:f>IF(J140="","",J140-TODAY())</x:f>
      </x:c>
      <x:c r="L140" s="8"/>
      <x:c r="M140" s="8"/>
      <x:c r="N140" s="8"/>
      <x:c r="O140" s="8"/>
    </x:row>
    <x:row r="141">
      <x:c r="A141" s="8"/>
      <x:c r="B141" s="8"/>
      <x:c r="C141" s="8"/>
      <x:c r="D141" s="8"/>
      <x:c r="E141" s="8"/>
      <x:c r="F141" s="8"/>
      <x:c r="G141" s="11"/>
      <x:c r="H141" s="12"/>
      <x:c r="I141" s="12"/>
      <x:c r="J141" s="12"/>
      <x:c r="K141" s="13" t="str">
        <x:f>IF(J141="","",J141-TODAY())</x:f>
      </x:c>
      <x:c r="L141" s="8"/>
      <x:c r="M141" s="8"/>
      <x:c r="N141" s="8"/>
      <x:c r="O141" s="8"/>
    </x:row>
    <x:row r="142">
      <x:c r="A142" s="8"/>
      <x:c r="B142" s="8"/>
      <x:c r="C142" s="8"/>
      <x:c r="D142" s="8"/>
      <x:c r="E142" s="8"/>
      <x:c r="F142" s="8"/>
      <x:c r="G142" s="11"/>
      <x:c r="H142" s="12"/>
      <x:c r="I142" s="12"/>
      <x:c r="J142" s="12"/>
      <x:c r="K142" s="13" t="str">
        <x:f>IF(J142="","",J142-TODAY())</x:f>
      </x:c>
      <x:c r="L142" s="8"/>
      <x:c r="M142" s="8"/>
      <x:c r="N142" s="8"/>
      <x:c r="O142" s="8"/>
    </x:row>
    <x:row r="143">
      <x:c r="A143" s="8"/>
      <x:c r="B143" s="8"/>
      <x:c r="C143" s="8"/>
      <x:c r="D143" s="8"/>
      <x:c r="E143" s="8"/>
      <x:c r="F143" s="8"/>
      <x:c r="G143" s="11"/>
      <x:c r="H143" s="12"/>
      <x:c r="I143" s="12"/>
      <x:c r="J143" s="12"/>
      <x:c r="K143" s="13" t="str">
        <x:f>IF(J143="","",J143-TODAY())</x:f>
      </x:c>
      <x:c r="L143" s="8"/>
      <x:c r="M143" s="8"/>
      <x:c r="N143" s="8"/>
      <x:c r="O143" s="8"/>
    </x:row>
    <x:row r="144">
      <x:c r="A144" s="8"/>
      <x:c r="B144" s="8"/>
      <x:c r="C144" s="8"/>
      <x:c r="D144" s="8"/>
      <x:c r="E144" s="8"/>
      <x:c r="F144" s="8"/>
      <x:c r="G144" s="11"/>
      <x:c r="H144" s="12"/>
      <x:c r="I144" s="12"/>
      <x:c r="J144" s="12"/>
      <x:c r="K144" s="13" t="str">
        <x:f>IF(J144="","",J144-TODAY())</x:f>
      </x:c>
      <x:c r="L144" s="8"/>
      <x:c r="M144" s="8"/>
      <x:c r="N144" s="8"/>
      <x:c r="O144" s="8"/>
    </x:row>
    <x:row r="145">
      <x:c r="A145" s="8"/>
      <x:c r="B145" s="8"/>
      <x:c r="C145" s="8"/>
      <x:c r="D145" s="8"/>
      <x:c r="E145" s="8"/>
      <x:c r="F145" s="8"/>
      <x:c r="G145" s="11"/>
      <x:c r="H145" s="12"/>
      <x:c r="I145" s="12"/>
      <x:c r="J145" s="12"/>
      <x:c r="K145" s="13" t="str">
        <x:f>IF(J145="","",J145-TODAY())</x:f>
      </x:c>
      <x:c r="L145" s="8"/>
      <x:c r="M145" s="8"/>
      <x:c r="N145" s="8"/>
      <x:c r="O145" s="8"/>
    </x:row>
    <x:row r="146">
      <x:c r="A146" s="8"/>
      <x:c r="B146" s="8"/>
      <x:c r="C146" s="8"/>
      <x:c r="D146" s="8"/>
      <x:c r="E146" s="8"/>
      <x:c r="F146" s="8"/>
      <x:c r="G146" s="11"/>
      <x:c r="H146" s="12"/>
      <x:c r="I146" s="12"/>
      <x:c r="J146" s="12"/>
      <x:c r="K146" s="13" t="str">
        <x:f>IF(J146="","",J146-TODAY())</x:f>
      </x:c>
      <x:c r="L146" s="8"/>
      <x:c r="M146" s="8"/>
      <x:c r="N146" s="8"/>
      <x:c r="O146" s="8"/>
    </x:row>
    <x:row r="147">
      <x:c r="A147" s="8"/>
      <x:c r="B147" s="8"/>
      <x:c r="C147" s="8"/>
      <x:c r="D147" s="8"/>
      <x:c r="E147" s="8"/>
      <x:c r="F147" s="8"/>
      <x:c r="G147" s="11"/>
      <x:c r="H147" s="12"/>
      <x:c r="I147" s="12"/>
      <x:c r="J147" s="12"/>
      <x:c r="K147" s="13" t="str">
        <x:f>IF(J147="","",J147-TODAY())</x:f>
      </x:c>
      <x:c r="L147" s="8"/>
      <x:c r="M147" s="8"/>
      <x:c r="N147" s="8"/>
      <x:c r="O147" s="8"/>
    </x:row>
    <x:row r="148">
      <x:c r="A148" s="8"/>
      <x:c r="B148" s="8"/>
      <x:c r="C148" s="8"/>
      <x:c r="D148" s="8"/>
      <x:c r="E148" s="8"/>
      <x:c r="F148" s="8"/>
      <x:c r="G148" s="11"/>
      <x:c r="H148" s="12"/>
      <x:c r="I148" s="12"/>
      <x:c r="J148" s="12"/>
      <x:c r="K148" s="13" t="str">
        <x:f>IF(J148="","",J148-TODAY())</x:f>
      </x:c>
      <x:c r="L148" s="8"/>
      <x:c r="M148" s="8"/>
      <x:c r="N148" s="8"/>
      <x:c r="O148" s="8"/>
    </x:row>
    <x:row r="149">
      <x:c r="A149" s="8"/>
      <x:c r="B149" s="8"/>
      <x:c r="C149" s="8"/>
      <x:c r="D149" s="8"/>
      <x:c r="E149" s="8"/>
      <x:c r="F149" s="8"/>
      <x:c r="G149" s="11"/>
      <x:c r="H149" s="12"/>
      <x:c r="I149" s="12"/>
      <x:c r="J149" s="12"/>
      <x:c r="K149" s="13" t="str">
        <x:f>IF(J149="","",J149-TODAY())</x:f>
      </x:c>
      <x:c r="L149" s="8"/>
      <x:c r="M149" s="8"/>
      <x:c r="N149" s="8"/>
      <x:c r="O149" s="8"/>
    </x:row>
    <x:row r="150">
      <x:c r="A150" s="8"/>
      <x:c r="B150" s="8"/>
      <x:c r="C150" s="8"/>
      <x:c r="D150" s="8"/>
      <x:c r="E150" s="8"/>
      <x:c r="F150" s="8"/>
      <x:c r="G150" s="11"/>
      <x:c r="H150" s="12"/>
      <x:c r="I150" s="12"/>
      <x:c r="J150" s="12"/>
      <x:c r="K150" s="13" t="str">
        <x:f>IF(J150="","",J150-TODAY())</x:f>
      </x:c>
      <x:c r="L150" s="8"/>
      <x:c r="M150" s="8"/>
      <x:c r="N150" s="8"/>
      <x:c r="O150" s="8"/>
    </x:row>
    <x:row r="151">
      <x:c r="A151" s="8"/>
      <x:c r="B151" s="8"/>
      <x:c r="C151" s="8"/>
      <x:c r="D151" s="8"/>
      <x:c r="E151" s="8"/>
      <x:c r="F151" s="8"/>
      <x:c r="G151" s="11"/>
      <x:c r="H151" s="12"/>
      <x:c r="I151" s="12"/>
      <x:c r="J151" s="12"/>
      <x:c r="K151" s="13" t="str">
        <x:f>IF(J151="","",J151-TODAY())</x:f>
      </x:c>
      <x:c r="L151" s="8"/>
      <x:c r="M151" s="8"/>
      <x:c r="N151" s="8"/>
      <x:c r="O151" s="8"/>
    </x:row>
    <x:row r="152">
      <x:c r="A152" s="8"/>
      <x:c r="B152" s="8"/>
      <x:c r="C152" s="8"/>
      <x:c r="D152" s="8"/>
      <x:c r="E152" s="8"/>
      <x:c r="F152" s="8"/>
      <x:c r="G152" s="11"/>
      <x:c r="H152" s="12"/>
      <x:c r="I152" s="12"/>
      <x:c r="J152" s="12"/>
      <x:c r="K152" s="13" t="str">
        <x:f>IF(J152="","",J152-TODAY())</x:f>
      </x:c>
      <x:c r="L152" s="8"/>
      <x:c r="M152" s="8"/>
      <x:c r="N152" s="8"/>
      <x:c r="O152" s="8"/>
    </x:row>
    <x:row r="153">
      <x:c r="A153" s="8"/>
      <x:c r="B153" s="8"/>
      <x:c r="C153" s="8"/>
      <x:c r="D153" s="8"/>
      <x:c r="E153" s="8"/>
      <x:c r="F153" s="8"/>
      <x:c r="G153" s="11"/>
      <x:c r="H153" s="12"/>
      <x:c r="I153" s="12"/>
      <x:c r="J153" s="12"/>
      <x:c r="K153" s="13" t="str">
        <x:f>IF(J153="","",J153-TODAY())</x:f>
      </x:c>
      <x:c r="L153" s="8"/>
      <x:c r="M153" s="8"/>
      <x:c r="N153" s="8"/>
      <x:c r="O153" s="8"/>
    </x:row>
    <x:row r="154">
      <x:c r="A154" s="8"/>
      <x:c r="B154" s="8"/>
      <x:c r="C154" s="8"/>
      <x:c r="D154" s="8"/>
      <x:c r="E154" s="8"/>
      <x:c r="F154" s="8"/>
      <x:c r="G154" s="11"/>
      <x:c r="H154" s="12"/>
      <x:c r="I154" s="12"/>
      <x:c r="J154" s="12"/>
      <x:c r="K154" s="13" t="str">
        <x:f>IF(J154="","",J154-TODAY())</x:f>
      </x:c>
      <x:c r="L154" s="8"/>
      <x:c r="M154" s="8"/>
      <x:c r="N154" s="8"/>
      <x:c r="O154" s="8"/>
    </x:row>
    <x:row r="155">
      <x:c r="A155" s="8"/>
      <x:c r="B155" s="8"/>
      <x:c r="C155" s="8"/>
      <x:c r="D155" s="8"/>
      <x:c r="E155" s="8"/>
      <x:c r="F155" s="8"/>
      <x:c r="G155" s="11"/>
      <x:c r="H155" s="12"/>
      <x:c r="I155" s="12"/>
      <x:c r="J155" s="12"/>
      <x:c r="K155" s="13" t="str">
        <x:f>IF(J155="","",J155-TODAY())</x:f>
      </x:c>
      <x:c r="L155" s="8"/>
      <x:c r="M155" s="8"/>
      <x:c r="N155" s="8"/>
      <x:c r="O155" s="8"/>
    </x:row>
    <x:row r="156">
      <x:c r="A156" s="8"/>
      <x:c r="B156" s="8"/>
      <x:c r="C156" s="8"/>
      <x:c r="D156" s="8"/>
      <x:c r="E156" s="8"/>
      <x:c r="F156" s="8"/>
      <x:c r="G156" s="11"/>
      <x:c r="H156" s="12"/>
      <x:c r="I156" s="12"/>
      <x:c r="J156" s="12"/>
      <x:c r="K156" s="13" t="str">
        <x:f>IF(J156="","",J156-TODAY())</x:f>
      </x:c>
      <x:c r="L156" s="8"/>
      <x:c r="M156" s="8"/>
      <x:c r="N156" s="8"/>
      <x:c r="O156" s="8"/>
    </x:row>
    <x:row r="157">
      <x:c r="A157" s="8"/>
      <x:c r="B157" s="8"/>
      <x:c r="C157" s="8"/>
      <x:c r="D157" s="8"/>
      <x:c r="E157" s="8"/>
      <x:c r="F157" s="8"/>
      <x:c r="G157" s="11"/>
      <x:c r="H157" s="12"/>
      <x:c r="I157" s="12"/>
      <x:c r="J157" s="12"/>
      <x:c r="K157" s="13" t="str">
        <x:f>IF(J157="","",J157-TODAY())</x:f>
      </x:c>
      <x:c r="L157" s="8"/>
      <x:c r="M157" s="8"/>
      <x:c r="N157" s="8"/>
      <x:c r="O157" s="8"/>
    </x:row>
    <x:row r="158">
      <x:c r="A158" s="8"/>
      <x:c r="B158" s="8"/>
      <x:c r="C158" s="8"/>
      <x:c r="D158" s="8"/>
      <x:c r="E158" s="8"/>
      <x:c r="F158" s="8"/>
      <x:c r="G158" s="11"/>
      <x:c r="H158" s="12"/>
      <x:c r="I158" s="12"/>
      <x:c r="J158" s="12"/>
      <x:c r="K158" s="13" t="str">
        <x:f>IF(J158="","",J158-TODAY())</x:f>
      </x:c>
      <x:c r="L158" s="8"/>
      <x:c r="M158" s="8"/>
      <x:c r="N158" s="8"/>
      <x:c r="O158" s="8"/>
    </x:row>
    <x:row r="159">
      <x:c r="A159" s="8"/>
      <x:c r="B159" s="8"/>
      <x:c r="C159" s="8"/>
      <x:c r="D159" s="8"/>
      <x:c r="E159" s="8"/>
      <x:c r="F159" s="8"/>
      <x:c r="G159" s="11"/>
      <x:c r="H159" s="12"/>
      <x:c r="I159" s="12"/>
      <x:c r="J159" s="12"/>
      <x:c r="K159" s="13" t="str">
        <x:f>IF(J159="","",J159-TODAY())</x:f>
      </x:c>
      <x:c r="L159" s="8"/>
      <x:c r="M159" s="8"/>
      <x:c r="N159" s="8"/>
      <x:c r="O159" s="8"/>
    </x:row>
    <x:row r="160">
      <x:c r="A160" s="8"/>
      <x:c r="B160" s="8"/>
      <x:c r="C160" s="8"/>
      <x:c r="D160" s="8"/>
      <x:c r="E160" s="8"/>
      <x:c r="F160" s="8"/>
      <x:c r="G160" s="11"/>
      <x:c r="H160" s="12"/>
      <x:c r="I160" s="12"/>
      <x:c r="J160" s="12"/>
      <x:c r="K160" s="13" t="str">
        <x:f>IF(J160="","",J160-TODAY())</x:f>
      </x:c>
      <x:c r="L160" s="8"/>
      <x:c r="M160" s="8"/>
      <x:c r="N160" s="8"/>
      <x:c r="O160" s="8"/>
    </x:row>
    <x:row r="161">
      <x:c r="A161" s="8"/>
      <x:c r="B161" s="8"/>
      <x:c r="C161" s="8"/>
      <x:c r="D161" s="8"/>
      <x:c r="E161" s="8"/>
      <x:c r="F161" s="8"/>
      <x:c r="G161" s="11"/>
      <x:c r="H161" s="12"/>
      <x:c r="I161" s="12"/>
      <x:c r="J161" s="12"/>
      <x:c r="K161" s="13" t="str">
        <x:f>IF(J161="","",J161-TODAY())</x:f>
      </x:c>
      <x:c r="L161" s="8"/>
      <x:c r="M161" s="8"/>
      <x:c r="N161" s="8"/>
      <x:c r="O161" s="8"/>
    </x:row>
    <x:row r="162">
      <x:c r="A162" s="8"/>
      <x:c r="B162" s="8"/>
      <x:c r="C162" s="8"/>
      <x:c r="D162" s="8"/>
      <x:c r="E162" s="8"/>
      <x:c r="F162" s="8"/>
      <x:c r="G162" s="11"/>
      <x:c r="H162" s="12"/>
      <x:c r="I162" s="12"/>
      <x:c r="J162" s="12"/>
      <x:c r="K162" s="13" t="str">
        <x:f>IF(J162="","",J162-TODAY())</x:f>
      </x:c>
      <x:c r="L162" s="8"/>
      <x:c r="M162" s="8"/>
      <x:c r="N162" s="8"/>
      <x:c r="O162" s="8"/>
    </x:row>
    <x:row r="163">
      <x:c r="A163" s="8"/>
      <x:c r="B163" s="8"/>
      <x:c r="C163" s="8"/>
      <x:c r="D163" s="8"/>
      <x:c r="E163" s="8"/>
      <x:c r="F163" s="8"/>
      <x:c r="G163" s="11"/>
      <x:c r="H163" s="12"/>
      <x:c r="I163" s="12"/>
      <x:c r="J163" s="12"/>
      <x:c r="K163" s="13" t="str">
        <x:f>IF(J163="","",J163-TODAY())</x:f>
      </x:c>
      <x:c r="L163" s="8"/>
      <x:c r="M163" s="8"/>
      <x:c r="N163" s="8"/>
      <x:c r="O163" s="8"/>
    </x:row>
    <x:row r="164">
      <x:c r="A164" s="8"/>
      <x:c r="B164" s="8"/>
      <x:c r="C164" s="8"/>
      <x:c r="D164" s="8"/>
      <x:c r="E164" s="8"/>
      <x:c r="F164" s="8"/>
      <x:c r="G164" s="11"/>
      <x:c r="H164" s="12"/>
      <x:c r="I164" s="12"/>
      <x:c r="J164" s="12"/>
      <x:c r="K164" s="13" t="str">
        <x:f>IF(J164="","",J164-TODAY())</x:f>
      </x:c>
      <x:c r="L164" s="8"/>
      <x:c r="M164" s="8"/>
      <x:c r="N164" s="8"/>
      <x:c r="O164" s="8"/>
    </x:row>
    <x:row r="165">
      <x:c r="A165" s="8"/>
      <x:c r="B165" s="8"/>
      <x:c r="C165" s="8"/>
      <x:c r="D165" s="8"/>
      <x:c r="E165" s="8"/>
      <x:c r="F165" s="8"/>
      <x:c r="G165" s="11"/>
      <x:c r="H165" s="12"/>
      <x:c r="I165" s="12"/>
      <x:c r="J165" s="12"/>
      <x:c r="K165" s="13" t="str">
        <x:f>IF(J165="","",J165-TODAY())</x:f>
      </x:c>
      <x:c r="L165" s="8"/>
      <x:c r="M165" s="8"/>
      <x:c r="N165" s="8"/>
      <x:c r="O165" s="8"/>
    </x:row>
    <x:row r="166">
      <x:c r="A166" s="8"/>
      <x:c r="B166" s="8"/>
      <x:c r="C166" s="8"/>
      <x:c r="D166" s="8"/>
      <x:c r="E166" s="8"/>
      <x:c r="F166" s="8"/>
      <x:c r="G166" s="11"/>
      <x:c r="H166" s="12"/>
      <x:c r="I166" s="12"/>
      <x:c r="J166" s="12"/>
      <x:c r="K166" s="13" t="str">
        <x:f>IF(J166="","",J166-TODAY())</x:f>
      </x:c>
      <x:c r="L166" s="8"/>
      <x:c r="M166" s="8"/>
      <x:c r="N166" s="8"/>
      <x:c r="O166" s="8"/>
    </x:row>
    <x:row r="167">
      <x:c r="A167" s="8"/>
      <x:c r="B167" s="8"/>
      <x:c r="C167" s="8"/>
      <x:c r="D167" s="8"/>
      <x:c r="E167" s="8"/>
      <x:c r="F167" s="8"/>
      <x:c r="G167" s="11"/>
      <x:c r="H167" s="12"/>
      <x:c r="I167" s="12"/>
      <x:c r="J167" s="12"/>
      <x:c r="K167" s="13" t="str">
        <x:f>IF(J167="","",J167-TODAY())</x:f>
      </x:c>
      <x:c r="L167" s="8"/>
      <x:c r="M167" s="8"/>
      <x:c r="N167" s="8"/>
      <x:c r="O167" s="8"/>
    </x:row>
    <x:row r="168">
      <x:c r="A168" s="8"/>
      <x:c r="B168" s="8"/>
      <x:c r="C168" s="8"/>
      <x:c r="D168" s="8"/>
      <x:c r="E168" s="8"/>
      <x:c r="F168" s="8"/>
      <x:c r="G168" s="11"/>
      <x:c r="H168" s="12"/>
      <x:c r="I168" s="12"/>
      <x:c r="J168" s="12"/>
      <x:c r="K168" s="13" t="str">
        <x:f>IF(J168="","",J168-TODAY())</x:f>
      </x:c>
      <x:c r="L168" s="8"/>
      <x:c r="M168" s="8"/>
      <x:c r="N168" s="8"/>
      <x:c r="O168" s="8"/>
    </x:row>
    <x:row r="169">
      <x:c r="A169" s="8"/>
      <x:c r="B169" s="8"/>
      <x:c r="C169" s="8"/>
      <x:c r="D169" s="8"/>
      <x:c r="E169" s="8"/>
      <x:c r="F169" s="8"/>
      <x:c r="G169" s="11"/>
      <x:c r="H169" s="12"/>
      <x:c r="I169" s="12"/>
      <x:c r="J169" s="12"/>
      <x:c r="K169" s="13" t="str">
        <x:f>IF(J169="","",J169-TODAY())</x:f>
      </x:c>
      <x:c r="L169" s="8"/>
      <x:c r="M169" s="8"/>
      <x:c r="N169" s="8"/>
      <x:c r="O169" s="8"/>
    </x:row>
    <x:row r="170">
      <x:c r="A170" s="8"/>
      <x:c r="B170" s="8"/>
      <x:c r="C170" s="8"/>
      <x:c r="D170" s="8"/>
      <x:c r="E170" s="8"/>
      <x:c r="F170" s="8"/>
      <x:c r="G170" s="11"/>
      <x:c r="H170" s="12"/>
      <x:c r="I170" s="12"/>
      <x:c r="J170" s="12"/>
      <x:c r="K170" s="13" t="str">
        <x:f>IF(J170="","",J170-TODAY())</x:f>
      </x:c>
      <x:c r="L170" s="8"/>
      <x:c r="M170" s="8"/>
      <x:c r="N170" s="8"/>
      <x:c r="O170" s="8"/>
    </x:row>
    <x:row r="171">
      <x:c r="A171" s="8"/>
      <x:c r="B171" s="8"/>
      <x:c r="C171" s="8"/>
      <x:c r="D171" s="8"/>
      <x:c r="E171" s="8"/>
      <x:c r="F171" s="8"/>
      <x:c r="G171" s="11"/>
      <x:c r="H171" s="12"/>
      <x:c r="I171" s="12"/>
      <x:c r="J171" s="12"/>
      <x:c r="K171" s="13" t="str">
        <x:f>IF(J171="","",J171-TODAY())</x:f>
      </x:c>
      <x:c r="L171" s="8"/>
      <x:c r="M171" s="8"/>
      <x:c r="N171" s="8"/>
      <x:c r="O171" s="8"/>
    </x:row>
    <x:row r="172">
      <x:c r="A172" s="8"/>
      <x:c r="B172" s="8"/>
      <x:c r="C172" s="8"/>
      <x:c r="D172" s="8"/>
      <x:c r="E172" s="8"/>
      <x:c r="F172" s="8"/>
      <x:c r="G172" s="11"/>
      <x:c r="H172" s="12"/>
      <x:c r="I172" s="12"/>
      <x:c r="J172" s="12"/>
      <x:c r="K172" s="13" t="str">
        <x:f>IF(J172="","",J172-TODAY())</x:f>
      </x:c>
      <x:c r="L172" s="8"/>
      <x:c r="M172" s="8"/>
      <x:c r="N172" s="8"/>
      <x:c r="O172" s="8"/>
    </x:row>
    <x:row r="173">
      <x:c r="A173" s="8"/>
      <x:c r="B173" s="8"/>
      <x:c r="C173" s="8"/>
      <x:c r="D173" s="8"/>
      <x:c r="E173" s="8"/>
      <x:c r="F173" s="8"/>
      <x:c r="G173" s="11"/>
      <x:c r="H173" s="12"/>
      <x:c r="I173" s="12"/>
      <x:c r="J173" s="12"/>
      <x:c r="K173" s="13" t="str">
        <x:f>IF(J173="","",J173-TODAY())</x:f>
      </x:c>
      <x:c r="L173" s="8"/>
      <x:c r="M173" s="8"/>
      <x:c r="N173" s="8"/>
      <x:c r="O173" s="8"/>
    </x:row>
    <x:row r="174">
      <x:c r="A174" s="8"/>
      <x:c r="B174" s="8"/>
      <x:c r="C174" s="8"/>
      <x:c r="D174" s="8"/>
      <x:c r="E174" s="8"/>
      <x:c r="F174" s="8"/>
      <x:c r="G174" s="11"/>
      <x:c r="H174" s="12"/>
      <x:c r="I174" s="12"/>
      <x:c r="J174" s="12"/>
      <x:c r="K174" s="13" t="str">
        <x:f>IF(J174="","",J174-TODAY())</x:f>
      </x:c>
      <x:c r="L174" s="8"/>
      <x:c r="M174" s="8"/>
      <x:c r="N174" s="8"/>
      <x:c r="O174" s="8"/>
    </x:row>
    <x:row r="175">
      <x:c r="A175" s="8"/>
      <x:c r="B175" s="8"/>
      <x:c r="C175" s="8"/>
      <x:c r="D175" s="8"/>
      <x:c r="E175" s="8"/>
      <x:c r="F175" s="8"/>
      <x:c r="G175" s="11"/>
      <x:c r="H175" s="12"/>
      <x:c r="I175" s="12"/>
      <x:c r="J175" s="12"/>
      <x:c r="K175" s="13" t="str">
        <x:f>IF(J175="","",J175-TODAY())</x:f>
      </x:c>
      <x:c r="L175" s="8"/>
      <x:c r="M175" s="8"/>
      <x:c r="N175" s="8"/>
      <x:c r="O175" s="8"/>
    </x:row>
    <x:row r="176">
      <x:c r="A176" s="8"/>
      <x:c r="B176" s="8"/>
      <x:c r="C176" s="8"/>
      <x:c r="D176" s="8"/>
      <x:c r="E176" s="8"/>
      <x:c r="F176" s="8"/>
      <x:c r="G176" s="11"/>
      <x:c r="H176" s="12"/>
      <x:c r="I176" s="12"/>
      <x:c r="J176" s="12"/>
      <x:c r="K176" s="13" t="str">
        <x:f>IF(J176="","",J176-TODAY())</x:f>
      </x:c>
      <x:c r="L176" s="8"/>
      <x:c r="M176" s="8"/>
      <x:c r="N176" s="8"/>
      <x:c r="O176" s="8"/>
    </x:row>
    <x:row r="177">
      <x:c r="A177" s="8"/>
      <x:c r="B177" s="8"/>
      <x:c r="C177" s="8"/>
      <x:c r="D177" s="8"/>
      <x:c r="E177" s="8"/>
      <x:c r="F177" s="8"/>
      <x:c r="G177" s="11"/>
      <x:c r="H177" s="12"/>
      <x:c r="I177" s="12"/>
      <x:c r="J177" s="12"/>
      <x:c r="K177" s="13" t="str">
        <x:f>IF(J177="","",J177-TODAY())</x:f>
      </x:c>
      <x:c r="L177" s="8"/>
      <x:c r="M177" s="8"/>
      <x:c r="N177" s="8"/>
      <x:c r="O177" s="8"/>
    </x:row>
    <x:row r="178">
      <x:c r="A178" s="8"/>
      <x:c r="B178" s="8"/>
      <x:c r="C178" s="8"/>
      <x:c r="D178" s="8"/>
      <x:c r="E178" s="8"/>
      <x:c r="F178" s="8"/>
      <x:c r="G178" s="11"/>
      <x:c r="H178" s="12"/>
      <x:c r="I178" s="12"/>
      <x:c r="J178" s="12"/>
      <x:c r="K178" s="13" t="str">
        <x:f>IF(J178="","",J178-TODAY())</x:f>
      </x:c>
      <x:c r="L178" s="8"/>
      <x:c r="M178" s="8"/>
      <x:c r="N178" s="8"/>
      <x:c r="O178" s="8"/>
    </x:row>
    <x:row r="179">
      <x:c r="A179" s="8"/>
      <x:c r="B179" s="8"/>
      <x:c r="C179" s="8"/>
      <x:c r="D179" s="8"/>
      <x:c r="E179" s="8"/>
      <x:c r="F179" s="8"/>
      <x:c r="G179" s="11"/>
      <x:c r="H179" s="12"/>
      <x:c r="I179" s="12"/>
      <x:c r="J179" s="12"/>
      <x:c r="K179" s="13" t="str">
        <x:f>IF(J179="","",J179-TODAY())</x:f>
      </x:c>
      <x:c r="L179" s="8"/>
      <x:c r="M179" s="8"/>
      <x:c r="N179" s="8"/>
      <x:c r="O179" s="8"/>
    </x:row>
    <x:row r="180">
      <x:c r="A180" s="8"/>
      <x:c r="B180" s="8"/>
      <x:c r="C180" s="8"/>
      <x:c r="D180" s="8"/>
      <x:c r="E180" s="8"/>
      <x:c r="F180" s="8"/>
      <x:c r="G180" s="11"/>
      <x:c r="H180" s="12"/>
      <x:c r="I180" s="12"/>
      <x:c r="J180" s="12"/>
      <x:c r="K180" s="13" t="str">
        <x:f>IF(J180="","",J180-TODAY())</x:f>
      </x:c>
      <x:c r="L180" s="8"/>
      <x:c r="M180" s="8"/>
      <x:c r="N180" s="8"/>
      <x:c r="O180" s="8"/>
    </x:row>
    <x:row r="181">
      <x:c r="A181" s="8"/>
      <x:c r="B181" s="8"/>
      <x:c r="C181" s="8"/>
      <x:c r="D181" s="8"/>
      <x:c r="E181" s="8"/>
      <x:c r="F181" s="8"/>
      <x:c r="G181" s="11"/>
      <x:c r="H181" s="12"/>
      <x:c r="I181" s="12"/>
      <x:c r="J181" s="12"/>
      <x:c r="K181" s="13" t="str">
        <x:f>IF(J181="","",J181-TODAY())</x:f>
      </x:c>
      <x:c r="L181" s="8"/>
      <x:c r="M181" s="8"/>
      <x:c r="N181" s="8"/>
      <x:c r="O181" s="8"/>
    </x:row>
    <x:row r="182">
      <x:c r="A182" s="8"/>
      <x:c r="B182" s="8"/>
      <x:c r="C182" s="8"/>
      <x:c r="D182" s="8"/>
      <x:c r="E182" s="8"/>
      <x:c r="F182" s="8"/>
      <x:c r="G182" s="11"/>
      <x:c r="H182" s="12"/>
      <x:c r="I182" s="12"/>
      <x:c r="J182" s="12"/>
      <x:c r="K182" s="13" t="str">
        <x:f>IF(J182="","",J182-TODAY())</x:f>
      </x:c>
      <x:c r="L182" s="8"/>
      <x:c r="M182" s="8"/>
      <x:c r="N182" s="8"/>
      <x:c r="O182" s="8"/>
    </x:row>
    <x:row r="183">
      <x:c r="A183" s="8"/>
      <x:c r="B183" s="8"/>
      <x:c r="C183" s="8"/>
      <x:c r="D183" s="8"/>
      <x:c r="E183" s="8"/>
      <x:c r="F183" s="8"/>
      <x:c r="G183" s="11"/>
      <x:c r="H183" s="12"/>
      <x:c r="I183" s="12"/>
      <x:c r="J183" s="12"/>
      <x:c r="K183" s="13" t="str">
        <x:f>IF(J183="","",J183-TODAY())</x:f>
      </x:c>
      <x:c r="L183" s="8"/>
      <x:c r="M183" s="8"/>
      <x:c r="N183" s="8"/>
      <x:c r="O183" s="8"/>
    </x:row>
    <x:row r="184">
      <x:c r="A184" s="8"/>
      <x:c r="B184" s="8"/>
      <x:c r="C184" s="8"/>
      <x:c r="D184" s="8"/>
      <x:c r="E184" s="8"/>
      <x:c r="F184" s="8"/>
      <x:c r="G184" s="11"/>
      <x:c r="H184" s="12"/>
      <x:c r="I184" s="12"/>
      <x:c r="J184" s="12"/>
      <x:c r="K184" s="13" t="str">
        <x:f>IF(J184="","",J184-TODAY())</x:f>
      </x:c>
      <x:c r="L184" s="8"/>
      <x:c r="M184" s="8"/>
      <x:c r="N184" s="8"/>
      <x:c r="O184" s="8"/>
    </x:row>
    <x:row r="185">
      <x:c r="A185" s="8"/>
      <x:c r="B185" s="8"/>
      <x:c r="C185" s="8"/>
      <x:c r="D185" s="8"/>
      <x:c r="E185" s="8"/>
      <x:c r="F185" s="8"/>
      <x:c r="G185" s="11"/>
      <x:c r="H185" s="12"/>
      <x:c r="I185" s="12"/>
      <x:c r="J185" s="12"/>
      <x:c r="K185" s="13" t="str">
        <x:f>IF(J185="","",J185-TODAY())</x:f>
      </x:c>
      <x:c r="L185" s="8"/>
      <x:c r="M185" s="8"/>
      <x:c r="N185" s="8"/>
      <x:c r="O185" s="8"/>
    </x:row>
    <x:row r="186">
      <x:c r="A186" s="8"/>
      <x:c r="B186" s="8"/>
      <x:c r="C186" s="8"/>
      <x:c r="D186" s="8"/>
      <x:c r="E186" s="8"/>
      <x:c r="F186" s="8"/>
      <x:c r="G186" s="11"/>
      <x:c r="H186" s="12"/>
      <x:c r="I186" s="12"/>
      <x:c r="J186" s="12"/>
      <x:c r="K186" s="13" t="str">
        <x:f>IF(J186="","",J186-TODAY())</x:f>
      </x:c>
      <x:c r="L186" s="8"/>
      <x:c r="M186" s="8"/>
      <x:c r="N186" s="8"/>
      <x:c r="O186" s="8"/>
    </x:row>
    <x:row r="187">
      <x:c r="A187" s="8"/>
      <x:c r="B187" s="8"/>
      <x:c r="C187" s="8"/>
      <x:c r="D187" s="8"/>
      <x:c r="E187" s="8"/>
      <x:c r="F187" s="8"/>
      <x:c r="G187" s="11"/>
      <x:c r="H187" s="12"/>
      <x:c r="I187" s="12"/>
      <x:c r="J187" s="12"/>
      <x:c r="K187" s="13" t="str">
        <x:f>IF(J187="","",J187-TODAY())</x:f>
      </x:c>
      <x:c r="L187" s="8"/>
      <x:c r="M187" s="8"/>
      <x:c r="N187" s="8"/>
      <x:c r="O187" s="8"/>
    </x:row>
    <x:row r="188">
      <x:c r="A188" s="8"/>
      <x:c r="B188" s="8"/>
      <x:c r="C188" s="8"/>
      <x:c r="D188" s="8"/>
      <x:c r="E188" s="8"/>
      <x:c r="F188" s="8"/>
      <x:c r="G188" s="11"/>
      <x:c r="H188" s="12"/>
      <x:c r="I188" s="12"/>
      <x:c r="J188" s="12"/>
      <x:c r="K188" s="13" t="str">
        <x:f>IF(J188="","",J188-TODAY())</x:f>
      </x:c>
      <x:c r="L188" s="8"/>
      <x:c r="M188" s="8"/>
      <x:c r="N188" s="8"/>
      <x:c r="O188" s="8"/>
    </x:row>
    <x:row r="189">
      <x:c r="A189" s="8"/>
      <x:c r="B189" s="8"/>
      <x:c r="C189" s="8"/>
      <x:c r="D189" s="8"/>
      <x:c r="E189" s="8"/>
      <x:c r="F189" s="8"/>
      <x:c r="G189" s="11"/>
      <x:c r="H189" s="12"/>
      <x:c r="I189" s="12"/>
      <x:c r="J189" s="12"/>
      <x:c r="K189" s="13" t="str">
        <x:f>IF(J189="","",J189-TODAY())</x:f>
      </x:c>
      <x:c r="L189" s="8"/>
      <x:c r="M189" s="8"/>
      <x:c r="N189" s="8"/>
      <x:c r="O189" s="8"/>
    </x:row>
    <x:row r="190">
      <x:c r="A190" s="8"/>
      <x:c r="B190" s="8"/>
      <x:c r="C190" s="8"/>
      <x:c r="D190" s="8"/>
      <x:c r="E190" s="8"/>
      <x:c r="F190" s="8"/>
      <x:c r="G190" s="11"/>
      <x:c r="H190" s="12"/>
      <x:c r="I190" s="12"/>
      <x:c r="J190" s="12"/>
      <x:c r="K190" s="13" t="str">
        <x:f>IF(J190="","",J190-TODAY())</x:f>
      </x:c>
      <x:c r="L190" s="8"/>
      <x:c r="M190" s="8"/>
      <x:c r="N190" s="8"/>
      <x:c r="O190" s="8"/>
    </x:row>
    <x:row r="191">
      <x:c r="A191" s="8"/>
      <x:c r="B191" s="8"/>
      <x:c r="C191" s="8"/>
      <x:c r="D191" s="8"/>
      <x:c r="E191" s="8"/>
      <x:c r="F191" s="8"/>
      <x:c r="G191" s="11"/>
      <x:c r="H191" s="12"/>
      <x:c r="I191" s="12"/>
      <x:c r="J191" s="12"/>
      <x:c r="K191" s="13" t="str">
        <x:f>IF(J191="","",J191-TODAY())</x:f>
      </x:c>
      <x:c r="L191" s="8"/>
      <x:c r="M191" s="8"/>
      <x:c r="N191" s="8"/>
      <x:c r="O191" s="8"/>
    </x:row>
    <x:row r="192">
      <x:c r="A192" s="8"/>
      <x:c r="B192" s="8"/>
      <x:c r="C192" s="8"/>
      <x:c r="D192" s="8"/>
      <x:c r="E192" s="8"/>
      <x:c r="F192" s="8"/>
      <x:c r="G192" s="11"/>
      <x:c r="H192" s="12"/>
      <x:c r="I192" s="12"/>
      <x:c r="J192" s="12"/>
      <x:c r="K192" s="13" t="str">
        <x:f>IF(J192="","",J192-TODAY())</x:f>
      </x:c>
      <x:c r="L192" s="8"/>
      <x:c r="M192" s="8"/>
      <x:c r="N192" s="8"/>
      <x:c r="O192" s="8"/>
    </x:row>
    <x:row r="193">
      <x:c r="A193" s="8"/>
      <x:c r="B193" s="8"/>
      <x:c r="C193" s="8"/>
      <x:c r="D193" s="8"/>
      <x:c r="E193" s="8"/>
      <x:c r="F193" s="8"/>
      <x:c r="G193" s="11"/>
      <x:c r="H193" s="12"/>
      <x:c r="I193" s="12"/>
      <x:c r="J193" s="12"/>
      <x:c r="K193" s="13" t="str">
        <x:f>IF(J193="","",J193-TODAY())</x:f>
      </x:c>
      <x:c r="L193" s="8"/>
      <x:c r="M193" s="8"/>
      <x:c r="N193" s="8"/>
      <x:c r="O193" s="8"/>
    </x:row>
    <x:row r="194">
      <x:c r="A194" s="8"/>
      <x:c r="B194" s="8"/>
      <x:c r="C194" s="8"/>
      <x:c r="D194" s="8"/>
      <x:c r="E194" s="8"/>
      <x:c r="F194" s="8"/>
      <x:c r="G194" s="11"/>
      <x:c r="H194" s="12"/>
      <x:c r="I194" s="12"/>
      <x:c r="J194" s="12"/>
      <x:c r="K194" s="13" t="str">
        <x:f>IF(J194="","",J194-TODAY())</x:f>
      </x:c>
      <x:c r="L194" s="8"/>
      <x:c r="M194" s="8"/>
      <x:c r="N194" s="8"/>
      <x:c r="O194" s="8"/>
    </x:row>
    <x:row r="195">
      <x:c r="A195" s="8"/>
      <x:c r="B195" s="8"/>
      <x:c r="C195" s="8"/>
      <x:c r="D195" s="8"/>
      <x:c r="E195" s="8"/>
      <x:c r="F195" s="8"/>
      <x:c r="G195" s="11"/>
      <x:c r="H195" s="12"/>
      <x:c r="I195" s="12"/>
      <x:c r="J195" s="12"/>
      <x:c r="K195" s="13" t="str">
        <x:f>IF(J195="","",J195-TODAY())</x:f>
      </x:c>
      <x:c r="L195" s="8"/>
      <x:c r="M195" s="8"/>
      <x:c r="N195" s="8"/>
      <x:c r="O195" s="8"/>
    </x:row>
    <x:row r="196">
      <x:c r="A196" s="8"/>
      <x:c r="B196" s="8"/>
      <x:c r="C196" s="8"/>
      <x:c r="D196" s="8"/>
      <x:c r="E196" s="8"/>
      <x:c r="F196" s="8"/>
      <x:c r="G196" s="11"/>
      <x:c r="H196" s="12"/>
      <x:c r="I196" s="12"/>
      <x:c r="J196" s="12"/>
      <x:c r="K196" s="13" t="str">
        <x:f>IF(J196="","",J196-TODAY())</x:f>
      </x:c>
      <x:c r="L196" s="8"/>
      <x:c r="M196" s="8"/>
      <x:c r="N196" s="8"/>
      <x:c r="O196" s="8"/>
    </x:row>
    <x:row r="197">
      <x:c r="A197" s="8"/>
      <x:c r="B197" s="8"/>
      <x:c r="C197" s="8"/>
      <x:c r="D197" s="8"/>
      <x:c r="E197" s="8"/>
      <x:c r="F197" s="8"/>
      <x:c r="G197" s="11"/>
      <x:c r="H197" s="12"/>
      <x:c r="I197" s="12"/>
      <x:c r="J197" s="12"/>
      <x:c r="K197" s="13" t="str">
        <x:f>IF(J197="","",J197-TODAY())</x:f>
      </x:c>
      <x:c r="L197" s="8"/>
      <x:c r="M197" s="8"/>
      <x:c r="N197" s="8"/>
      <x:c r="O197" s="8"/>
    </x:row>
    <x:row r="198">
      <x:c r="A198" s="8"/>
      <x:c r="B198" s="8"/>
      <x:c r="C198" s="8"/>
      <x:c r="D198" s="8"/>
      <x:c r="E198" s="8"/>
      <x:c r="F198" s="8"/>
      <x:c r="G198" s="11"/>
      <x:c r="H198" s="12"/>
      <x:c r="I198" s="12"/>
      <x:c r="J198" s="12"/>
      <x:c r="K198" s="13" t="str">
        <x:f>IF(J198="","",J198-TODAY())</x:f>
      </x:c>
      <x:c r="L198" s="8"/>
      <x:c r="M198" s="8"/>
      <x:c r="N198" s="8"/>
      <x:c r="O198" s="8"/>
    </x:row>
    <x:row r="199">
      <x:c r="A199" s="8"/>
      <x:c r="B199" s="8"/>
      <x:c r="C199" s="8"/>
      <x:c r="D199" s="8"/>
      <x:c r="E199" s="8"/>
      <x:c r="F199" s="8"/>
      <x:c r="G199" s="11"/>
      <x:c r="H199" s="12"/>
      <x:c r="I199" s="12"/>
      <x:c r="J199" s="12"/>
      <x:c r="K199" s="13" t="str">
        <x:f>IF(J199="","",J199-TODAY())</x:f>
      </x:c>
      <x:c r="L199" s="8"/>
      <x:c r="M199" s="8"/>
      <x:c r="N199" s="8"/>
      <x:c r="O199" s="8"/>
    </x:row>
    <x:row r="200">
      <x:c r="A200" s="8"/>
      <x:c r="B200" s="8"/>
      <x:c r="C200" s="8"/>
      <x:c r="D200" s="8"/>
      <x:c r="E200" s="8"/>
      <x:c r="F200" s="8"/>
      <x:c r="G200" s="11"/>
      <x:c r="H200" s="12"/>
      <x:c r="I200" s="12"/>
      <x:c r="J200" s="12"/>
      <x:c r="K200" s="13" t="str">
        <x:f>IF(J200="","",J200-TODAY())</x:f>
      </x:c>
      <x:c r="L200" s="8"/>
      <x:c r="M200" s="8"/>
      <x:c r="N200" s="8"/>
      <x:c r="O200" s="8"/>
    </x:row>
    <x:row r="201">
      <x:c r="A201" s="8"/>
      <x:c r="B201" s="8"/>
      <x:c r="C201" s="8"/>
      <x:c r="D201" s="8"/>
      <x:c r="E201" s="8"/>
      <x:c r="F201" s="8"/>
      <x:c r="G201" s="11"/>
      <x:c r="H201" s="12"/>
      <x:c r="I201" s="12"/>
      <x:c r="J201" s="12"/>
      <x:c r="K201" s="13" t="str">
        <x:f>IF(J201="","",J201-TODAY())</x:f>
      </x:c>
      <x:c r="L201" s="8"/>
      <x:c r="M201" s="8"/>
      <x:c r="N201" s="8"/>
      <x:c r="O201" s="8"/>
    </x:row>
    <x:row r="202">
      <x:c r="A202" s="8"/>
      <x:c r="B202" s="8"/>
      <x:c r="C202" s="8"/>
      <x:c r="D202" s="8"/>
      <x:c r="E202" s="8"/>
      <x:c r="F202" s="8"/>
      <x:c r="G202" s="11"/>
      <x:c r="H202" s="12"/>
      <x:c r="I202" s="12"/>
      <x:c r="J202" s="12"/>
      <x:c r="K202" s="13" t="str">
        <x:f>IF(J202="","",J202-TODAY())</x:f>
      </x:c>
      <x:c r="L202" s="8"/>
      <x:c r="M202" s="8"/>
      <x:c r="N202" s="8"/>
      <x:c r="O202" s="8"/>
    </x:row>
    <x:row r="203">
      <x:c r="A203" s="8"/>
      <x:c r="B203" s="8"/>
      <x:c r="C203" s="8"/>
      <x:c r="D203" s="8"/>
      <x:c r="E203" s="8"/>
      <x:c r="F203" s="8"/>
      <x:c r="G203" s="11"/>
      <x:c r="H203" s="12"/>
      <x:c r="I203" s="12"/>
      <x:c r="J203" s="12"/>
      <x:c r="K203" s="13" t="str">
        <x:f>IF(J203="","",J203-TODAY())</x:f>
      </x:c>
      <x:c r="L203" s="8"/>
      <x:c r="M203" s="8"/>
      <x:c r="N203" s="8"/>
      <x:c r="O203" s="8"/>
    </x:row>
    <x:row r="204">
      <x:c r="A204" s="8"/>
      <x:c r="B204" s="8"/>
      <x:c r="C204" s="8"/>
      <x:c r="D204" s="8"/>
      <x:c r="E204" s="8"/>
      <x:c r="F204" s="8"/>
      <x:c r="G204" s="11"/>
      <x:c r="H204" s="12"/>
      <x:c r="I204" s="12"/>
      <x:c r="J204" s="12"/>
      <x:c r="K204" s="13" t="str">
        <x:f>IF(J204="","",J204-TODAY())</x:f>
      </x:c>
      <x:c r="L204" s="8"/>
      <x:c r="M204" s="8"/>
      <x:c r="N204" s="8"/>
      <x:c r="O204" s="8"/>
    </x:row>
  </x:sheetData>
  <x:mergeCells>
    <x:mergeCell ref="A1:H1"/>
    <x:mergeCell ref="A2:H2"/>
  </x:mergeCells>
  <x:conditionalFormatting sqref="K5:K9">
    <x:cfRule type="cellIs" dxfId="0" priority="1" operator="lessThanOrEqual">
      <x:formula>30</x:formula>
    </x:cfRule>
    <x:cfRule type="cellIs" dxfId="1" priority="2" operator="between">
      <x:formula>31</x:formula>
      <x:formula>90</x:formula>
    </x:cfRule>
  </x:conditionalFormatting>
  <x:dataValidations count="4">
    <x:dataValidation type="list" sqref="E5:E204">
      <x:formula1>Lists!$A$5:$A$11</x:formula1>
    </x:dataValidation>
    <x:dataValidation type="list" sqref="F5:F204">
      <x:formula1>Lists!$B$5:$B$8</x:formula1>
    </x:dataValidation>
    <x:dataValidation type="list" sqref="C5:C204">
      <x:formula1>Lists!$C$5:$C$11</x:formula1>
    </x:dataValidation>
    <x:dataValidation type="list" sqref="L5:M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fba4d9d63843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31.25" hidden="0" customWidth="1"/>
    <x:col min="10" max="10" width="16.8799991607666" hidden="0" customWidth="1"/>
    <x:col min="11" max="11" width="16.8799991607666" hidden="0" customWidth="1"/>
    <x:col min="12" max="12" width="28.75" hidden="0" customWidth="1"/>
  </x:cols>
  <x:sheetData>
    <x:row r="1" ht="25.5" customHeight="1">
      <x:c r="A1" s="2" t="str">
        <x:v>Intake Queue</x:v>
      </x:c>
    </x:row>
    <x:row r="2">
      <x:c r="A2" s="10" t="str">
        <x:v>Capture requests before drafting or legal review begins.</x:v>
      </x:c>
    </x:row>
    <x:row r="4">
      <x:c r="A4" s="6" t="str">
        <x:v>Request ID</x:v>
      </x:c>
      <x:c r="B4" s="6" t="str">
        <x:v>Submitted</x:v>
      </x:c>
      <x:c r="C4" s="6" t="str">
        <x:v>Requester</x:v>
      </x:c>
      <x:c r="D4" s="6" t="str">
        <x:v>Counterparty</x:v>
      </x:c>
      <x:c r="E4" s="6" t="str">
        <x:v>Type</x:v>
      </x:c>
      <x:c r="F4" s="6" t="str">
        <x:v>Target Signature</x:v>
      </x:c>
      <x:c r="G4" s="6" t="str">
        <x:v>Value</x:v>
      </x:c>
      <x:c r="H4" s="6" t="str">
        <x:v>Data?</x:v>
      </x:c>
      <x:c r="I4" s="6" t="str">
        <x:v>Non-Standard Terms</x:v>
      </x:c>
      <x:c r="J4" s="6" t="str">
        <x:v>Review Lane</x:v>
      </x:c>
      <x:c r="K4" s="6" t="str">
        <x:v>Status</x:v>
      </x:c>
      <x:c r="L4" s="6" t="str">
        <x:v>Notes</x:v>
      </x:c>
    </x:row>
    <x:row r="5">
      <x:c r="A5" s="8" t="str">
        <x:v>REQ-001</x:v>
      </x:c>
      <x:c r="B5" s="12" t="n">
        <x:v>46176</x:v>
      </x:c>
      <x:c r="C5" s="8" t="str">
        <x:v>M. Hassan</x:v>
      </x:c>
      <x:c r="D5" s="8" t="str">
        <x:v>Acme Retail Group</x:v>
      </x:c>
      <x:c r="E5" s="8" t="str">
        <x:v>SOW</x:v>
      </x:c>
      <x:c r="F5" s="12" t="n">
        <x:v>46201</x:v>
      </x:c>
      <x:c r="G5" s="11" t="n">
        <x:v>210000</x:v>
      </x:c>
      <x:c r="H5" s="8" t="str">
        <x:v>Yes</x:v>
      </x:c>
      <x:c r="I5" s="8" t="str">
        <x:v>Service credits, acceptance criteria</x:v>
      </x:c>
      <x:c r="J5" s="8" t="str">
        <x:v>Legal Review</x:v>
      </x:c>
      <x:c r="K5" s="8" t="str">
        <x:v>Negotiating</x:v>
      </x:c>
      <x:c r="L5" s="8" t="str">
        <x:v>Escalated to legal.</x:v>
      </x:c>
    </x:row>
    <x:row r="6">
      <x:c r="A6" s="8" t="str">
        <x:v>REQ-002</x:v>
      </x:c>
      <x:c r="B6" s="12" t="n">
        <x:v>46181</x:v>
      </x:c>
      <x:c r="C6" s="8" t="str">
        <x:v>A. Khan</x:v>
      </x:c>
      <x:c r="D6" s="8" t="str">
        <x:v>BrightPath Partners</x:v>
      </x:c>
      <x:c r="E6" s="8" t="str">
        <x:v>NDA</x:v>
      </x:c>
      <x:c r="F6" s="12" t="n">
        <x:v>46193</x:v>
      </x:c>
      <x:c r="G6" s="11" t="n">
        <x:v>0</x:v>
      </x:c>
      <x:c r="H6" s="8" t="str">
        <x:v>No</x:v>
      </x:c>
      <x:c r="I6" s="8" t="str">
        <x:v>None</x:v>
      </x:c>
      <x:c r="J6" s="8" t="str">
        <x:v>Business Review</x:v>
      </x:c>
      <x:c r="K6" s="8" t="str">
        <x:v>Pending Signature</x:v>
      </x:c>
      <x:c r="L6" s="8" t="str">
        <x:v>Ready to sign.</x:v>
      </x:c>
    </x:row>
    <x:row r="7">
      <x:c r="A7" s="8" t="str">
        <x:v>REQ-003</x:v>
      </x:c>
      <x:c r="B7" s="12" t="n">
        <x:v>46183</x:v>
      </x:c>
      <x:c r="C7" s="8" t="str">
        <x:v>S. Patel</x:v>
      </x:c>
      <x:c r="D7" s="8" t="str">
        <x:v>Blue Harbor Data</x:v>
      </x:c>
      <x:c r="E7" s="8" t="str">
        <x:v>DPA</x:v>
      </x:c>
      <x:c r="F7" s="12" t="n">
        <x:v>46208</x:v>
      </x:c>
      <x:c r="G7" s="11" t="n">
        <x:v>0</x:v>
      </x:c>
      <x:c r="H7" s="8" t="str">
        <x:v>Yes</x:v>
      </x:c>
      <x:c r="I7" s="8" t="str">
        <x:v>Breach notice window</x:v>
      </x:c>
      <x:c r="J7" s="8" t="str">
        <x:v>Privacy/Security Review</x:v>
      </x:c>
      <x:c r="K7" s="8" t="str">
        <x:v>In Review</x:v>
      </x:c>
      <x:c r="L7" s="8" t="str">
        <x:v>Security questionnaire pending.</x:v>
      </x:c>
    </x:row>
    <x:row r="8">
      <x:c r="A8" s="8" t="str">
        <x:v>REQ-004</x:v>
      </x:c>
      <x:c r="B8" s="12" t="n">
        <x:v>46185</x:v>
      </x:c>
      <x:c r="C8" s="8" t="str">
        <x:v>R. Jones</x:v>
      </x:c>
      <x:c r="D8" s="8" t="str">
        <x:v>Metro Apps Inc.</x:v>
      </x:c>
      <x:c r="E8" s="8" t="str">
        <x:v>MSA</x:v>
      </x:c>
      <x:c r="F8" s="12" t="n">
        <x:v>46218</x:v>
      </x:c>
      <x:c r="G8" s="11" t="n">
        <x:v>98000</x:v>
      </x:c>
      <x:c r="H8" s="8" t="str">
        <x:v>Yes</x:v>
      </x:c>
      <x:c r="I8" s="8" t="str">
        <x:v>Customer paper</x:v>
      </x:c>
      <x:c r="J8" s="8" t="str">
        <x:v>Legal Review</x:v>
      </x:c>
      <x:c r="K8" s="8" t="str">
        <x:v>Draft</x:v>
      </x:c>
      <x:c r="L8" s="8" t="str">
        <x:v>Awaiting redline.</x:v>
      </x:c>
    </x:row>
    <x:row r="9">
      <x:c r="A9" s="8"/>
      <x:c r="B9" s="12"/>
      <x:c r="C9" s="8"/>
      <x:c r="D9" s="8"/>
      <x:c r="E9" s="8"/>
      <x:c r="F9" s="12"/>
      <x:c r="G9" s="11"/>
      <x:c r="H9" s="8"/>
      <x:c r="I9" s="8"/>
      <x:c r="J9" s="8"/>
      <x:c r="K9" s="8"/>
      <x:c r="L9" s="8"/>
    </x:row>
    <x:row r="10">
      <x:c r="A10" s="8"/>
      <x:c r="B10" s="12"/>
      <x:c r="C10" s="8"/>
      <x:c r="D10" s="8"/>
      <x:c r="E10" s="8"/>
      <x:c r="F10" s="12"/>
      <x:c r="G10" s="11"/>
      <x:c r="H10" s="8"/>
      <x:c r="I10" s="8"/>
      <x:c r="J10" s="8"/>
      <x:c r="K10" s="8"/>
      <x:c r="L10" s="8"/>
    </x:row>
    <x:row r="11">
      <x:c r="A11" s="8"/>
      <x:c r="B11" s="12"/>
      <x:c r="C11" s="8"/>
      <x:c r="D11" s="8"/>
      <x:c r="E11" s="8"/>
      <x:c r="F11" s="12"/>
      <x:c r="G11" s="11"/>
      <x:c r="H11" s="8"/>
      <x:c r="I11" s="8"/>
      <x:c r="J11" s="8"/>
      <x:c r="K11" s="8"/>
      <x:c r="L11" s="8"/>
    </x:row>
    <x:row r="12">
      <x:c r="A12" s="8"/>
      <x:c r="B12" s="12"/>
      <x:c r="C12" s="8"/>
      <x:c r="D12" s="8"/>
      <x:c r="E12" s="8"/>
      <x:c r="F12" s="12"/>
      <x:c r="G12" s="11"/>
      <x:c r="H12" s="8"/>
      <x:c r="I12" s="8"/>
      <x:c r="J12" s="8"/>
      <x:c r="K12" s="8"/>
      <x:c r="L12" s="8"/>
    </x:row>
    <x:row r="13">
      <x:c r="A13" s="8"/>
      <x:c r="B13" s="12"/>
      <x:c r="C13" s="8"/>
      <x:c r="D13" s="8"/>
      <x:c r="E13" s="8"/>
      <x:c r="F13" s="12"/>
      <x:c r="G13" s="11"/>
      <x:c r="H13" s="8"/>
      <x:c r="I13" s="8"/>
      <x:c r="J13" s="8"/>
      <x:c r="K13" s="8"/>
      <x:c r="L13" s="8"/>
    </x:row>
    <x:row r="14">
      <x:c r="A14" s="8"/>
      <x:c r="B14" s="12"/>
      <x:c r="C14" s="8"/>
      <x:c r="D14" s="8"/>
      <x:c r="E14" s="8"/>
      <x:c r="F14" s="12"/>
      <x:c r="G14" s="11"/>
      <x:c r="H14" s="8"/>
      <x:c r="I14" s="8"/>
      <x:c r="J14" s="8"/>
      <x:c r="K14" s="8"/>
      <x:c r="L14" s="8"/>
    </x:row>
    <x:row r="15">
      <x:c r="A15" s="8"/>
      <x:c r="B15" s="12"/>
      <x:c r="C15" s="8"/>
      <x:c r="D15" s="8"/>
      <x:c r="E15" s="8"/>
      <x:c r="F15" s="12"/>
      <x:c r="G15" s="11"/>
      <x:c r="H15" s="8"/>
      <x:c r="I15" s="8"/>
      <x:c r="J15" s="8"/>
      <x:c r="K15" s="8"/>
      <x:c r="L15" s="8"/>
    </x:row>
    <x:row r="16">
      <x:c r="A16" s="8"/>
      <x:c r="B16" s="12"/>
      <x:c r="C16" s="8"/>
      <x:c r="D16" s="8"/>
      <x:c r="E16" s="8"/>
      <x:c r="F16" s="12"/>
      <x:c r="G16" s="11"/>
      <x:c r="H16" s="8"/>
      <x:c r="I16" s="8"/>
      <x:c r="J16" s="8"/>
      <x:c r="K16" s="8"/>
      <x:c r="L16" s="8"/>
    </x:row>
    <x:row r="17">
      <x:c r="A17" s="8"/>
      <x:c r="B17" s="12"/>
      <x:c r="C17" s="8"/>
      <x:c r="D17" s="8"/>
      <x:c r="E17" s="8"/>
      <x:c r="F17" s="12"/>
      <x:c r="G17" s="11"/>
      <x:c r="H17" s="8"/>
      <x:c r="I17" s="8"/>
      <x:c r="J17" s="8"/>
      <x:c r="K17" s="8"/>
      <x:c r="L17" s="8"/>
    </x:row>
    <x:row r="18">
      <x:c r="A18" s="8"/>
      <x:c r="B18" s="12"/>
      <x:c r="C18" s="8"/>
      <x:c r="D18" s="8"/>
      <x:c r="E18" s="8"/>
      <x:c r="F18" s="12"/>
      <x:c r="G18" s="11"/>
      <x:c r="H18" s="8"/>
      <x:c r="I18" s="8"/>
      <x:c r="J18" s="8"/>
      <x:c r="K18" s="8"/>
      <x:c r="L18" s="8"/>
    </x:row>
    <x:row r="19">
      <x:c r="A19" s="8"/>
      <x:c r="B19" s="12"/>
      <x:c r="C19" s="8"/>
      <x:c r="D19" s="8"/>
      <x:c r="E19" s="8"/>
      <x:c r="F19" s="12"/>
      <x:c r="G19" s="11"/>
      <x:c r="H19" s="8"/>
      <x:c r="I19" s="8"/>
      <x:c r="J19" s="8"/>
      <x:c r="K19" s="8"/>
      <x:c r="L19" s="8"/>
    </x:row>
    <x:row r="20">
      <x:c r="A20" s="8"/>
      <x:c r="B20" s="12"/>
      <x:c r="C20" s="8"/>
      <x:c r="D20" s="8"/>
      <x:c r="E20" s="8"/>
      <x:c r="F20" s="12"/>
      <x:c r="G20" s="11"/>
      <x:c r="H20" s="8"/>
      <x:c r="I20" s="8"/>
      <x:c r="J20" s="8"/>
      <x:c r="K20" s="8"/>
      <x:c r="L20" s="8"/>
    </x:row>
    <x:row r="21">
      <x:c r="A21" s="8"/>
      <x:c r="B21" s="12"/>
      <x:c r="C21" s="8"/>
      <x:c r="D21" s="8"/>
      <x:c r="E21" s="8"/>
      <x:c r="F21" s="12"/>
      <x:c r="G21" s="11"/>
      <x:c r="H21" s="8"/>
      <x:c r="I21" s="8"/>
      <x:c r="J21" s="8"/>
      <x:c r="K21" s="8"/>
      <x:c r="L21" s="8"/>
    </x:row>
    <x:row r="22">
      <x:c r="A22" s="8"/>
      <x:c r="B22" s="12"/>
      <x:c r="C22" s="8"/>
      <x:c r="D22" s="8"/>
      <x:c r="E22" s="8"/>
      <x:c r="F22" s="12"/>
      <x:c r="G22" s="11"/>
      <x:c r="H22" s="8"/>
      <x:c r="I22" s="8"/>
      <x:c r="J22" s="8"/>
      <x:c r="K22" s="8"/>
      <x:c r="L22" s="8"/>
    </x:row>
    <x:row r="23">
      <x:c r="A23" s="8"/>
      <x:c r="B23" s="12"/>
      <x:c r="C23" s="8"/>
      <x:c r="D23" s="8"/>
      <x:c r="E23" s="8"/>
      <x:c r="F23" s="12"/>
      <x:c r="G23" s="11"/>
      <x:c r="H23" s="8"/>
      <x:c r="I23" s="8"/>
      <x:c r="J23" s="8"/>
      <x:c r="K23" s="8"/>
      <x:c r="L23" s="8"/>
    </x:row>
    <x:row r="24">
      <x:c r="A24" s="8"/>
      <x:c r="B24" s="12"/>
      <x:c r="C24" s="8"/>
      <x:c r="D24" s="8"/>
      <x:c r="E24" s="8"/>
      <x:c r="F24" s="12"/>
      <x:c r="G24" s="11"/>
      <x:c r="H24" s="8"/>
      <x:c r="I24" s="8"/>
      <x:c r="J24" s="8"/>
      <x:c r="K24" s="8"/>
      <x:c r="L24" s="8"/>
    </x:row>
    <x:row r="25">
      <x:c r="A25" s="8"/>
      <x:c r="B25" s="12"/>
      <x:c r="C25" s="8"/>
      <x:c r="D25" s="8"/>
      <x:c r="E25" s="8"/>
      <x:c r="F25" s="12"/>
      <x:c r="G25" s="11"/>
      <x:c r="H25" s="8"/>
      <x:c r="I25" s="8"/>
      <x:c r="J25" s="8"/>
      <x:c r="K25" s="8"/>
      <x:c r="L25" s="8"/>
    </x:row>
    <x:row r="26">
      <x:c r="A26" s="8"/>
      <x:c r="B26" s="12"/>
      <x:c r="C26" s="8"/>
      <x:c r="D26" s="8"/>
      <x:c r="E26" s="8"/>
      <x:c r="F26" s="12"/>
      <x:c r="G26" s="11"/>
      <x:c r="H26" s="8"/>
      <x:c r="I26" s="8"/>
      <x:c r="J26" s="8"/>
      <x:c r="K26" s="8"/>
      <x:c r="L26" s="8"/>
    </x:row>
    <x:row r="27">
      <x:c r="A27" s="8"/>
      <x:c r="B27" s="12"/>
      <x:c r="C27" s="8"/>
      <x:c r="D27" s="8"/>
      <x:c r="E27" s="8"/>
      <x:c r="F27" s="12"/>
      <x:c r="G27" s="11"/>
      <x:c r="H27" s="8"/>
      <x:c r="I27" s="8"/>
      <x:c r="J27" s="8"/>
      <x:c r="K27" s="8"/>
      <x:c r="L27" s="8"/>
    </x:row>
    <x:row r="28">
      <x:c r="A28" s="8"/>
      <x:c r="B28" s="12"/>
      <x:c r="C28" s="8"/>
      <x:c r="D28" s="8"/>
      <x:c r="E28" s="8"/>
      <x:c r="F28" s="12"/>
      <x:c r="G28" s="11"/>
      <x:c r="H28" s="8"/>
      <x:c r="I28" s="8"/>
      <x:c r="J28" s="8"/>
      <x:c r="K28" s="8"/>
      <x:c r="L28" s="8"/>
    </x:row>
    <x:row r="29">
      <x:c r="A29" s="8"/>
      <x:c r="B29" s="12"/>
      <x:c r="C29" s="8"/>
      <x:c r="D29" s="8"/>
      <x:c r="E29" s="8"/>
      <x:c r="F29" s="12"/>
      <x:c r="G29" s="11"/>
      <x:c r="H29" s="8"/>
      <x:c r="I29" s="8"/>
      <x:c r="J29" s="8"/>
      <x:c r="K29" s="8"/>
      <x:c r="L29" s="8"/>
    </x:row>
    <x:row r="30">
      <x:c r="A30" s="8"/>
      <x:c r="B30" s="12"/>
      <x:c r="C30" s="8"/>
      <x:c r="D30" s="8"/>
      <x:c r="E30" s="8"/>
      <x:c r="F30" s="12"/>
      <x:c r="G30" s="11"/>
      <x:c r="H30" s="8"/>
      <x:c r="I30" s="8"/>
      <x:c r="J30" s="8"/>
      <x:c r="K30" s="8"/>
      <x:c r="L30" s="8"/>
    </x:row>
    <x:row r="31">
      <x:c r="A31" s="8"/>
      <x:c r="B31" s="12"/>
      <x:c r="C31" s="8"/>
      <x:c r="D31" s="8"/>
      <x:c r="E31" s="8"/>
      <x:c r="F31" s="12"/>
      <x:c r="G31" s="11"/>
      <x:c r="H31" s="8"/>
      <x:c r="I31" s="8"/>
      <x:c r="J31" s="8"/>
      <x:c r="K31" s="8"/>
      <x:c r="L31" s="8"/>
    </x:row>
    <x:row r="32">
      <x:c r="A32" s="8"/>
      <x:c r="B32" s="12"/>
      <x:c r="C32" s="8"/>
      <x:c r="D32" s="8"/>
      <x:c r="E32" s="8"/>
      <x:c r="F32" s="12"/>
      <x:c r="G32" s="11"/>
      <x:c r="H32" s="8"/>
      <x:c r="I32" s="8"/>
      <x:c r="J32" s="8"/>
      <x:c r="K32" s="8"/>
      <x:c r="L32" s="8"/>
    </x:row>
    <x:row r="33">
      <x:c r="A33" s="8"/>
      <x:c r="B33" s="12"/>
      <x:c r="C33" s="8"/>
      <x:c r="D33" s="8"/>
      <x:c r="E33" s="8"/>
      <x:c r="F33" s="12"/>
      <x:c r="G33" s="11"/>
      <x:c r="H33" s="8"/>
      <x:c r="I33" s="8"/>
      <x:c r="J33" s="8"/>
      <x:c r="K33" s="8"/>
      <x:c r="L33" s="8"/>
    </x:row>
    <x:row r="34">
      <x:c r="A34" s="8"/>
      <x:c r="B34" s="12"/>
      <x:c r="C34" s="8"/>
      <x:c r="D34" s="8"/>
      <x:c r="E34" s="8"/>
      <x:c r="F34" s="12"/>
      <x:c r="G34" s="11"/>
      <x:c r="H34" s="8"/>
      <x:c r="I34" s="8"/>
      <x:c r="J34" s="8"/>
      <x:c r="K34" s="8"/>
      <x:c r="L34" s="8"/>
    </x:row>
    <x:row r="35">
      <x:c r="A35" s="8"/>
      <x:c r="B35" s="12"/>
      <x:c r="C35" s="8"/>
      <x:c r="D35" s="8"/>
      <x:c r="E35" s="8"/>
      <x:c r="F35" s="12"/>
      <x:c r="G35" s="11"/>
      <x:c r="H35" s="8"/>
      <x:c r="I35" s="8"/>
      <x:c r="J35" s="8"/>
      <x:c r="K35" s="8"/>
      <x:c r="L35" s="8"/>
    </x:row>
    <x:row r="36">
      <x:c r="A36" s="8"/>
      <x:c r="B36" s="12"/>
      <x:c r="C36" s="8"/>
      <x:c r="D36" s="8"/>
      <x:c r="E36" s="8"/>
      <x:c r="F36" s="12"/>
      <x:c r="G36" s="11"/>
      <x:c r="H36" s="8"/>
      <x:c r="I36" s="8"/>
      <x:c r="J36" s="8"/>
      <x:c r="K36" s="8"/>
      <x:c r="L36" s="8"/>
    </x:row>
    <x:row r="37">
      <x:c r="A37" s="8"/>
      <x:c r="B37" s="12"/>
      <x:c r="C37" s="8"/>
      <x:c r="D37" s="8"/>
      <x:c r="E37" s="8"/>
      <x:c r="F37" s="12"/>
      <x:c r="G37" s="11"/>
      <x:c r="H37" s="8"/>
      <x:c r="I37" s="8"/>
      <x:c r="J37" s="8"/>
      <x:c r="K37" s="8"/>
      <x:c r="L37" s="8"/>
    </x:row>
    <x:row r="38">
      <x:c r="A38" s="8"/>
      <x:c r="B38" s="12"/>
      <x:c r="C38" s="8"/>
      <x:c r="D38" s="8"/>
      <x:c r="E38" s="8"/>
      <x:c r="F38" s="12"/>
      <x:c r="G38" s="11"/>
      <x:c r="H38" s="8"/>
      <x:c r="I38" s="8"/>
      <x:c r="J38" s="8"/>
      <x:c r="K38" s="8"/>
      <x:c r="L38" s="8"/>
    </x:row>
    <x:row r="39">
      <x:c r="A39" s="8"/>
      <x:c r="B39" s="12"/>
      <x:c r="C39" s="8"/>
      <x:c r="D39" s="8"/>
      <x:c r="E39" s="8"/>
      <x:c r="F39" s="12"/>
      <x:c r="G39" s="11"/>
      <x:c r="H39" s="8"/>
      <x:c r="I39" s="8"/>
      <x:c r="J39" s="8"/>
      <x:c r="K39" s="8"/>
      <x:c r="L39" s="8"/>
    </x:row>
    <x:row r="40">
      <x:c r="A40" s="8"/>
      <x:c r="B40" s="12"/>
      <x:c r="C40" s="8"/>
      <x:c r="D40" s="8"/>
      <x:c r="E40" s="8"/>
      <x:c r="F40" s="12"/>
      <x:c r="G40" s="11"/>
      <x:c r="H40" s="8"/>
      <x:c r="I40" s="8"/>
      <x:c r="J40" s="8"/>
      <x:c r="K40" s="8"/>
      <x:c r="L40" s="8"/>
    </x:row>
    <x:row r="41">
      <x:c r="A41" s="8"/>
      <x:c r="B41" s="12"/>
      <x:c r="C41" s="8"/>
      <x:c r="D41" s="8"/>
      <x:c r="E41" s="8"/>
      <x:c r="F41" s="12"/>
      <x:c r="G41" s="11"/>
      <x:c r="H41" s="8"/>
      <x:c r="I41" s="8"/>
      <x:c r="J41" s="8"/>
      <x:c r="K41" s="8"/>
      <x:c r="L41" s="8"/>
    </x:row>
    <x:row r="42">
      <x:c r="A42" s="8"/>
      <x:c r="B42" s="12"/>
      <x:c r="C42" s="8"/>
      <x:c r="D42" s="8"/>
      <x:c r="E42" s="8"/>
      <x:c r="F42" s="12"/>
      <x:c r="G42" s="11"/>
      <x:c r="H42" s="8"/>
      <x:c r="I42" s="8"/>
      <x:c r="J42" s="8"/>
      <x:c r="K42" s="8"/>
      <x:c r="L42" s="8"/>
    </x:row>
    <x:row r="43">
      <x:c r="A43" s="8"/>
      <x:c r="B43" s="12"/>
      <x:c r="C43" s="8"/>
      <x:c r="D43" s="8"/>
      <x:c r="E43" s="8"/>
      <x:c r="F43" s="12"/>
      <x:c r="G43" s="11"/>
      <x:c r="H43" s="8"/>
      <x:c r="I43" s="8"/>
      <x:c r="J43" s="8"/>
      <x:c r="K43" s="8"/>
      <x:c r="L43" s="8"/>
    </x:row>
    <x:row r="44">
      <x:c r="A44" s="8"/>
      <x:c r="B44" s="12"/>
      <x:c r="C44" s="8"/>
      <x:c r="D44" s="8"/>
      <x:c r="E44" s="8"/>
      <x:c r="F44" s="12"/>
      <x:c r="G44" s="11"/>
      <x:c r="H44" s="8"/>
      <x:c r="I44" s="8"/>
      <x:c r="J44" s="8"/>
      <x:c r="K44" s="8"/>
      <x:c r="L44" s="8"/>
    </x:row>
    <x:row r="45">
      <x:c r="A45" s="8"/>
      <x:c r="B45" s="12"/>
      <x:c r="C45" s="8"/>
      <x:c r="D45" s="8"/>
      <x:c r="E45" s="8"/>
      <x:c r="F45" s="12"/>
      <x:c r="G45" s="11"/>
      <x:c r="H45" s="8"/>
      <x:c r="I45" s="8"/>
      <x:c r="J45" s="8"/>
      <x:c r="K45" s="8"/>
      <x:c r="L45" s="8"/>
    </x:row>
    <x:row r="46">
      <x:c r="A46" s="8"/>
      <x:c r="B46" s="12"/>
      <x:c r="C46" s="8"/>
      <x:c r="D46" s="8"/>
      <x:c r="E46" s="8"/>
      <x:c r="F46" s="12"/>
      <x:c r="G46" s="11"/>
      <x:c r="H46" s="8"/>
      <x:c r="I46" s="8"/>
      <x:c r="J46" s="8"/>
      <x:c r="K46" s="8"/>
      <x:c r="L46" s="8"/>
    </x:row>
    <x:row r="47">
      <x:c r="A47" s="8"/>
      <x:c r="B47" s="12"/>
      <x:c r="C47" s="8"/>
      <x:c r="D47" s="8"/>
      <x:c r="E47" s="8"/>
      <x:c r="F47" s="12"/>
      <x:c r="G47" s="11"/>
      <x:c r="H47" s="8"/>
      <x:c r="I47" s="8"/>
      <x:c r="J47" s="8"/>
      <x:c r="K47" s="8"/>
      <x:c r="L47" s="8"/>
    </x:row>
    <x:row r="48">
      <x:c r="A48" s="8"/>
      <x:c r="B48" s="12"/>
      <x:c r="C48" s="8"/>
      <x:c r="D48" s="8"/>
      <x:c r="E48" s="8"/>
      <x:c r="F48" s="12"/>
      <x:c r="G48" s="11"/>
      <x:c r="H48" s="8"/>
      <x:c r="I48" s="8"/>
      <x:c r="J48" s="8"/>
      <x:c r="K48" s="8"/>
      <x:c r="L48" s="8"/>
    </x:row>
    <x:row r="49">
      <x:c r="A49" s="8"/>
      <x:c r="B49" s="12"/>
      <x:c r="C49" s="8"/>
      <x:c r="D49" s="8"/>
      <x:c r="E49" s="8"/>
      <x:c r="F49" s="12"/>
      <x:c r="G49" s="11"/>
      <x:c r="H49" s="8"/>
      <x:c r="I49" s="8"/>
      <x:c r="J49" s="8"/>
      <x:c r="K49" s="8"/>
      <x:c r="L49" s="8"/>
    </x:row>
    <x:row r="50">
      <x:c r="A50" s="8"/>
      <x:c r="B50" s="12"/>
      <x:c r="C50" s="8"/>
      <x:c r="D50" s="8"/>
      <x:c r="E50" s="8"/>
      <x:c r="F50" s="12"/>
      <x:c r="G50" s="11"/>
      <x:c r="H50" s="8"/>
      <x:c r="I50" s="8"/>
      <x:c r="J50" s="8"/>
      <x:c r="K50" s="8"/>
      <x:c r="L50" s="8"/>
    </x:row>
    <x:row r="51">
      <x:c r="A51" s="8"/>
      <x:c r="B51" s="12"/>
      <x:c r="C51" s="8"/>
      <x:c r="D51" s="8"/>
      <x:c r="E51" s="8"/>
      <x:c r="F51" s="12"/>
      <x:c r="G51" s="11"/>
      <x:c r="H51" s="8"/>
      <x:c r="I51" s="8"/>
      <x:c r="J51" s="8"/>
      <x:c r="K51" s="8"/>
      <x:c r="L51" s="8"/>
    </x:row>
    <x:row r="52">
      <x:c r="A52" s="8"/>
      <x:c r="B52" s="12"/>
      <x:c r="C52" s="8"/>
      <x:c r="D52" s="8"/>
      <x:c r="E52" s="8"/>
      <x:c r="F52" s="12"/>
      <x:c r="G52" s="11"/>
      <x:c r="H52" s="8"/>
      <x:c r="I52" s="8"/>
      <x:c r="J52" s="8"/>
      <x:c r="K52" s="8"/>
      <x:c r="L52" s="8"/>
    </x:row>
    <x:row r="53">
      <x:c r="A53" s="8"/>
      <x:c r="B53" s="12"/>
      <x:c r="C53" s="8"/>
      <x:c r="D53" s="8"/>
      <x:c r="E53" s="8"/>
      <x:c r="F53" s="12"/>
      <x:c r="G53" s="11"/>
      <x:c r="H53" s="8"/>
      <x:c r="I53" s="8"/>
      <x:c r="J53" s="8"/>
      <x:c r="K53" s="8"/>
      <x:c r="L53" s="8"/>
    </x:row>
    <x:row r="54">
      <x:c r="A54" s="8"/>
      <x:c r="B54" s="12"/>
      <x:c r="C54" s="8"/>
      <x:c r="D54" s="8"/>
      <x:c r="E54" s="8"/>
      <x:c r="F54" s="12"/>
      <x:c r="G54" s="11"/>
      <x:c r="H54" s="8"/>
      <x:c r="I54" s="8"/>
      <x:c r="J54" s="8"/>
      <x:c r="K54" s="8"/>
      <x:c r="L54" s="8"/>
    </x:row>
    <x:row r="55">
      <x:c r="A55" s="8"/>
      <x:c r="B55" s="12"/>
      <x:c r="C55" s="8"/>
      <x:c r="D55" s="8"/>
      <x:c r="E55" s="8"/>
      <x:c r="F55" s="12"/>
      <x:c r="G55" s="11"/>
      <x:c r="H55" s="8"/>
      <x:c r="I55" s="8"/>
      <x:c r="J55" s="8"/>
      <x:c r="K55" s="8"/>
      <x:c r="L55" s="8"/>
    </x:row>
    <x:row r="56">
      <x:c r="A56" s="8"/>
      <x:c r="B56" s="12"/>
      <x:c r="C56" s="8"/>
      <x:c r="D56" s="8"/>
      <x:c r="E56" s="8"/>
      <x:c r="F56" s="12"/>
      <x:c r="G56" s="11"/>
      <x:c r="H56" s="8"/>
      <x:c r="I56" s="8"/>
      <x:c r="J56" s="8"/>
      <x:c r="K56" s="8"/>
      <x:c r="L56" s="8"/>
    </x:row>
    <x:row r="57">
      <x:c r="A57" s="8"/>
      <x:c r="B57" s="12"/>
      <x:c r="C57" s="8"/>
      <x:c r="D57" s="8"/>
      <x:c r="E57" s="8"/>
      <x:c r="F57" s="12"/>
      <x:c r="G57" s="11"/>
      <x:c r="H57" s="8"/>
      <x:c r="I57" s="8"/>
      <x:c r="J57" s="8"/>
      <x:c r="K57" s="8"/>
      <x:c r="L57" s="8"/>
    </x:row>
    <x:row r="58">
      <x:c r="A58" s="8"/>
      <x:c r="B58" s="12"/>
      <x:c r="C58" s="8"/>
      <x:c r="D58" s="8"/>
      <x:c r="E58" s="8"/>
      <x:c r="F58" s="12"/>
      <x:c r="G58" s="11"/>
      <x:c r="H58" s="8"/>
      <x:c r="I58" s="8"/>
      <x:c r="J58" s="8"/>
      <x:c r="K58" s="8"/>
      <x:c r="L58" s="8"/>
    </x:row>
    <x:row r="59">
      <x:c r="A59" s="8"/>
      <x:c r="B59" s="12"/>
      <x:c r="C59" s="8"/>
      <x:c r="D59" s="8"/>
      <x:c r="E59" s="8"/>
      <x:c r="F59" s="12"/>
      <x:c r="G59" s="11"/>
      <x:c r="H59" s="8"/>
      <x:c r="I59" s="8"/>
      <x:c r="J59" s="8"/>
      <x:c r="K59" s="8"/>
      <x:c r="L59" s="8"/>
    </x:row>
    <x:row r="60">
      <x:c r="A60" s="8"/>
      <x:c r="B60" s="12"/>
      <x:c r="C60" s="8"/>
      <x:c r="D60" s="8"/>
      <x:c r="E60" s="8"/>
      <x:c r="F60" s="12"/>
      <x:c r="G60" s="11"/>
      <x:c r="H60" s="8"/>
      <x:c r="I60" s="8"/>
      <x:c r="J60" s="8"/>
      <x:c r="K60" s="8"/>
      <x:c r="L60" s="8"/>
    </x:row>
    <x:row r="61">
      <x:c r="A61" s="8"/>
      <x:c r="B61" s="12"/>
      <x:c r="C61" s="8"/>
      <x:c r="D61" s="8"/>
      <x:c r="E61" s="8"/>
      <x:c r="F61" s="12"/>
      <x:c r="G61" s="11"/>
      <x:c r="H61" s="8"/>
      <x:c r="I61" s="8"/>
      <x:c r="J61" s="8"/>
      <x:c r="K61" s="8"/>
      <x:c r="L61" s="8"/>
    </x:row>
    <x:row r="62">
      <x:c r="A62" s="8"/>
      <x:c r="B62" s="12"/>
      <x:c r="C62" s="8"/>
      <x:c r="D62" s="8"/>
      <x:c r="E62" s="8"/>
      <x:c r="F62" s="12"/>
      <x:c r="G62" s="11"/>
      <x:c r="H62" s="8"/>
      <x:c r="I62" s="8"/>
      <x:c r="J62" s="8"/>
      <x:c r="K62" s="8"/>
      <x:c r="L62" s="8"/>
    </x:row>
    <x:row r="63">
      <x:c r="A63" s="8"/>
      <x:c r="B63" s="12"/>
      <x:c r="C63" s="8"/>
      <x:c r="D63" s="8"/>
      <x:c r="E63" s="8"/>
      <x:c r="F63" s="12"/>
      <x:c r="G63" s="11"/>
      <x:c r="H63" s="8"/>
      <x:c r="I63" s="8"/>
      <x:c r="J63" s="8"/>
      <x:c r="K63" s="8"/>
      <x:c r="L63" s="8"/>
    </x:row>
    <x:row r="64">
      <x:c r="A64" s="8"/>
      <x:c r="B64" s="12"/>
      <x:c r="C64" s="8"/>
      <x:c r="D64" s="8"/>
      <x:c r="E64" s="8"/>
      <x:c r="F64" s="12"/>
      <x:c r="G64" s="11"/>
      <x:c r="H64" s="8"/>
      <x:c r="I64" s="8"/>
      <x:c r="J64" s="8"/>
      <x:c r="K64" s="8"/>
      <x:c r="L64" s="8"/>
    </x:row>
    <x:row r="65">
      <x:c r="A65" s="8"/>
      <x:c r="B65" s="12"/>
      <x:c r="C65" s="8"/>
      <x:c r="D65" s="8"/>
      <x:c r="E65" s="8"/>
      <x:c r="F65" s="12"/>
      <x:c r="G65" s="11"/>
      <x:c r="H65" s="8"/>
      <x:c r="I65" s="8"/>
      <x:c r="J65" s="8"/>
      <x:c r="K65" s="8"/>
      <x:c r="L65" s="8"/>
    </x:row>
    <x:row r="66">
      <x:c r="A66" s="8"/>
      <x:c r="B66" s="12"/>
      <x:c r="C66" s="8"/>
      <x:c r="D66" s="8"/>
      <x:c r="E66" s="8"/>
      <x:c r="F66" s="12"/>
      <x:c r="G66" s="11"/>
      <x:c r="H66" s="8"/>
      <x:c r="I66" s="8"/>
      <x:c r="J66" s="8"/>
      <x:c r="K66" s="8"/>
      <x:c r="L66" s="8"/>
    </x:row>
    <x:row r="67">
      <x:c r="A67" s="8"/>
      <x:c r="B67" s="12"/>
      <x:c r="C67" s="8"/>
      <x:c r="D67" s="8"/>
      <x:c r="E67" s="8"/>
      <x:c r="F67" s="12"/>
      <x:c r="G67" s="11"/>
      <x:c r="H67" s="8"/>
      <x:c r="I67" s="8"/>
      <x:c r="J67" s="8"/>
      <x:c r="K67" s="8"/>
      <x:c r="L67" s="8"/>
    </x:row>
    <x:row r="68">
      <x:c r="A68" s="8"/>
      <x:c r="B68" s="12"/>
      <x:c r="C68" s="8"/>
      <x:c r="D68" s="8"/>
      <x:c r="E68" s="8"/>
      <x:c r="F68" s="12"/>
      <x:c r="G68" s="11"/>
      <x:c r="H68" s="8"/>
      <x:c r="I68" s="8"/>
      <x:c r="J68" s="8"/>
      <x:c r="K68" s="8"/>
      <x:c r="L68" s="8"/>
    </x:row>
    <x:row r="69">
      <x:c r="A69" s="8"/>
      <x:c r="B69" s="12"/>
      <x:c r="C69" s="8"/>
      <x:c r="D69" s="8"/>
      <x:c r="E69" s="8"/>
      <x:c r="F69" s="12"/>
      <x:c r="G69" s="11"/>
      <x:c r="H69" s="8"/>
      <x:c r="I69" s="8"/>
      <x:c r="J69" s="8"/>
      <x:c r="K69" s="8"/>
      <x:c r="L69" s="8"/>
    </x:row>
    <x:row r="70">
      <x:c r="A70" s="8"/>
      <x:c r="B70" s="12"/>
      <x:c r="C70" s="8"/>
      <x:c r="D70" s="8"/>
      <x:c r="E70" s="8"/>
      <x:c r="F70" s="12"/>
      <x:c r="G70" s="11"/>
      <x:c r="H70" s="8"/>
      <x:c r="I70" s="8"/>
      <x:c r="J70" s="8"/>
      <x:c r="K70" s="8"/>
      <x:c r="L70" s="8"/>
    </x:row>
    <x:row r="71">
      <x:c r="A71" s="8"/>
      <x:c r="B71" s="12"/>
      <x:c r="C71" s="8"/>
      <x:c r="D71" s="8"/>
      <x:c r="E71" s="8"/>
      <x:c r="F71" s="12"/>
      <x:c r="G71" s="11"/>
      <x:c r="H71" s="8"/>
      <x:c r="I71" s="8"/>
      <x:c r="J71" s="8"/>
      <x:c r="K71" s="8"/>
      <x:c r="L71" s="8"/>
    </x:row>
    <x:row r="72">
      <x:c r="A72" s="8"/>
      <x:c r="B72" s="12"/>
      <x:c r="C72" s="8"/>
      <x:c r="D72" s="8"/>
      <x:c r="E72" s="8"/>
      <x:c r="F72" s="12"/>
      <x:c r="G72" s="11"/>
      <x:c r="H72" s="8"/>
      <x:c r="I72" s="8"/>
      <x:c r="J72" s="8"/>
      <x:c r="K72" s="8"/>
      <x:c r="L72" s="8"/>
    </x:row>
    <x:row r="73">
      <x:c r="A73" s="8"/>
      <x:c r="B73" s="12"/>
      <x:c r="C73" s="8"/>
      <x:c r="D73" s="8"/>
      <x:c r="E73" s="8"/>
      <x:c r="F73" s="12"/>
      <x:c r="G73" s="11"/>
      <x:c r="H73" s="8"/>
      <x:c r="I73" s="8"/>
      <x:c r="J73" s="8"/>
      <x:c r="K73" s="8"/>
      <x:c r="L73" s="8"/>
    </x:row>
    <x:row r="74">
      <x:c r="A74" s="8"/>
      <x:c r="B74" s="12"/>
      <x:c r="C74" s="8"/>
      <x:c r="D74" s="8"/>
      <x:c r="E74" s="8"/>
      <x:c r="F74" s="12"/>
      <x:c r="G74" s="11"/>
      <x:c r="H74" s="8"/>
      <x:c r="I74" s="8"/>
      <x:c r="J74" s="8"/>
      <x:c r="K74" s="8"/>
      <x:c r="L74" s="8"/>
    </x:row>
    <x:row r="75">
      <x:c r="A75" s="8"/>
      <x:c r="B75" s="12"/>
      <x:c r="C75" s="8"/>
      <x:c r="D75" s="8"/>
      <x:c r="E75" s="8"/>
      <x:c r="F75" s="12"/>
      <x:c r="G75" s="11"/>
      <x:c r="H75" s="8"/>
      <x:c r="I75" s="8"/>
      <x:c r="J75" s="8"/>
      <x:c r="K75" s="8"/>
      <x:c r="L75" s="8"/>
    </x:row>
    <x:row r="76">
      <x:c r="A76" s="8"/>
      <x:c r="B76" s="12"/>
      <x:c r="C76" s="8"/>
      <x:c r="D76" s="8"/>
      <x:c r="E76" s="8"/>
      <x:c r="F76" s="12"/>
      <x:c r="G76" s="11"/>
      <x:c r="H76" s="8"/>
      <x:c r="I76" s="8"/>
      <x:c r="J76" s="8"/>
      <x:c r="K76" s="8"/>
      <x:c r="L76" s="8"/>
    </x:row>
    <x:row r="77">
      <x:c r="A77" s="8"/>
      <x:c r="B77" s="12"/>
      <x:c r="C77" s="8"/>
      <x:c r="D77" s="8"/>
      <x:c r="E77" s="8"/>
      <x:c r="F77" s="12"/>
      <x:c r="G77" s="11"/>
      <x:c r="H77" s="8"/>
      <x:c r="I77" s="8"/>
      <x:c r="J77" s="8"/>
      <x:c r="K77" s="8"/>
      <x:c r="L77" s="8"/>
    </x:row>
    <x:row r="78">
      <x:c r="A78" s="8"/>
      <x:c r="B78" s="12"/>
      <x:c r="C78" s="8"/>
      <x:c r="D78" s="8"/>
      <x:c r="E78" s="8"/>
      <x:c r="F78" s="12"/>
      <x:c r="G78" s="11"/>
      <x:c r="H78" s="8"/>
      <x:c r="I78" s="8"/>
      <x:c r="J78" s="8"/>
      <x:c r="K78" s="8"/>
      <x:c r="L78" s="8"/>
    </x:row>
    <x:row r="79">
      <x:c r="A79" s="8"/>
      <x:c r="B79" s="12"/>
      <x:c r="C79" s="8"/>
      <x:c r="D79" s="8"/>
      <x:c r="E79" s="8"/>
      <x:c r="F79" s="12"/>
      <x:c r="G79" s="11"/>
      <x:c r="H79" s="8"/>
      <x:c r="I79" s="8"/>
      <x:c r="J79" s="8"/>
      <x:c r="K79" s="8"/>
      <x:c r="L79" s="8"/>
    </x:row>
    <x:row r="80">
      <x:c r="A80" s="8"/>
      <x:c r="B80" s="12"/>
      <x:c r="C80" s="8"/>
      <x:c r="D80" s="8"/>
      <x:c r="E80" s="8"/>
      <x:c r="F80" s="12"/>
      <x:c r="G80" s="11"/>
      <x:c r="H80" s="8"/>
      <x:c r="I80" s="8"/>
      <x:c r="J80" s="8"/>
      <x:c r="K80" s="8"/>
      <x:c r="L80" s="8"/>
    </x:row>
    <x:row r="81">
      <x:c r="A81" s="8"/>
      <x:c r="B81" s="12"/>
      <x:c r="C81" s="8"/>
      <x:c r="D81" s="8"/>
      <x:c r="E81" s="8"/>
      <x:c r="F81" s="12"/>
      <x:c r="G81" s="11"/>
      <x:c r="H81" s="8"/>
      <x:c r="I81" s="8"/>
      <x:c r="J81" s="8"/>
      <x:c r="K81" s="8"/>
      <x:c r="L81" s="8"/>
    </x:row>
    <x:row r="82">
      <x:c r="A82" s="8"/>
      <x:c r="B82" s="12"/>
      <x:c r="C82" s="8"/>
      <x:c r="D82" s="8"/>
      <x:c r="E82" s="8"/>
      <x:c r="F82" s="12"/>
      <x:c r="G82" s="11"/>
      <x:c r="H82" s="8"/>
      <x:c r="I82" s="8"/>
      <x:c r="J82" s="8"/>
      <x:c r="K82" s="8"/>
      <x:c r="L82" s="8"/>
    </x:row>
    <x:row r="83">
      <x:c r="A83" s="8"/>
      <x:c r="B83" s="12"/>
      <x:c r="C83" s="8"/>
      <x:c r="D83" s="8"/>
      <x:c r="E83" s="8"/>
      <x:c r="F83" s="12"/>
      <x:c r="G83" s="11"/>
      <x:c r="H83" s="8"/>
      <x:c r="I83" s="8"/>
      <x:c r="J83" s="8"/>
      <x:c r="K83" s="8"/>
      <x:c r="L83" s="8"/>
    </x:row>
    <x:row r="84">
      <x:c r="A84" s="8"/>
      <x:c r="B84" s="12"/>
      <x:c r="C84" s="8"/>
      <x:c r="D84" s="8"/>
      <x:c r="E84" s="8"/>
      <x:c r="F84" s="12"/>
      <x:c r="G84" s="11"/>
      <x:c r="H84" s="8"/>
      <x:c r="I84" s="8"/>
      <x:c r="J84" s="8"/>
      <x:c r="K84" s="8"/>
      <x:c r="L84" s="8"/>
    </x:row>
    <x:row r="85">
      <x:c r="A85" s="8"/>
      <x:c r="B85" s="12"/>
      <x:c r="C85" s="8"/>
      <x:c r="D85" s="8"/>
      <x:c r="E85" s="8"/>
      <x:c r="F85" s="12"/>
      <x:c r="G85" s="11"/>
      <x:c r="H85" s="8"/>
      <x:c r="I85" s="8"/>
      <x:c r="J85" s="8"/>
      <x:c r="K85" s="8"/>
      <x:c r="L85" s="8"/>
    </x:row>
    <x:row r="86">
      <x:c r="A86" s="8"/>
      <x:c r="B86" s="12"/>
      <x:c r="C86" s="8"/>
      <x:c r="D86" s="8"/>
      <x:c r="E86" s="8"/>
      <x:c r="F86" s="12"/>
      <x:c r="G86" s="11"/>
      <x:c r="H86" s="8"/>
      <x:c r="I86" s="8"/>
      <x:c r="J86" s="8"/>
      <x:c r="K86" s="8"/>
      <x:c r="L86" s="8"/>
    </x:row>
    <x:row r="87">
      <x:c r="A87" s="8"/>
      <x:c r="B87" s="12"/>
      <x:c r="C87" s="8"/>
      <x:c r="D87" s="8"/>
      <x:c r="E87" s="8"/>
      <x:c r="F87" s="12"/>
      <x:c r="G87" s="11"/>
      <x:c r="H87" s="8"/>
      <x:c r="I87" s="8"/>
      <x:c r="J87" s="8"/>
      <x:c r="K87" s="8"/>
      <x:c r="L87" s="8"/>
    </x:row>
    <x:row r="88">
      <x:c r="A88" s="8"/>
      <x:c r="B88" s="12"/>
      <x:c r="C88" s="8"/>
      <x:c r="D88" s="8"/>
      <x:c r="E88" s="8"/>
      <x:c r="F88" s="12"/>
      <x:c r="G88" s="11"/>
      <x:c r="H88" s="8"/>
      <x:c r="I88" s="8"/>
      <x:c r="J88" s="8"/>
      <x:c r="K88" s="8"/>
      <x:c r="L88" s="8"/>
    </x:row>
    <x:row r="89">
      <x:c r="A89" s="8"/>
      <x:c r="B89" s="12"/>
      <x:c r="C89" s="8"/>
      <x:c r="D89" s="8"/>
      <x:c r="E89" s="8"/>
      <x:c r="F89" s="12"/>
      <x:c r="G89" s="11"/>
      <x:c r="H89" s="8"/>
      <x:c r="I89" s="8"/>
      <x:c r="J89" s="8"/>
      <x:c r="K89" s="8"/>
      <x:c r="L89" s="8"/>
    </x:row>
    <x:row r="90">
      <x:c r="A90" s="8"/>
      <x:c r="B90" s="12"/>
      <x:c r="C90" s="8"/>
      <x:c r="D90" s="8"/>
      <x:c r="E90" s="8"/>
      <x:c r="F90" s="12"/>
      <x:c r="G90" s="11"/>
      <x:c r="H90" s="8"/>
      <x:c r="I90" s="8"/>
      <x:c r="J90" s="8"/>
      <x:c r="K90" s="8"/>
      <x:c r="L90" s="8"/>
    </x:row>
    <x:row r="91">
      <x:c r="A91" s="8"/>
      <x:c r="B91" s="12"/>
      <x:c r="C91" s="8"/>
      <x:c r="D91" s="8"/>
      <x:c r="E91" s="8"/>
      <x:c r="F91" s="12"/>
      <x:c r="G91" s="11"/>
      <x:c r="H91" s="8"/>
      <x:c r="I91" s="8"/>
      <x:c r="J91" s="8"/>
      <x:c r="K91" s="8"/>
      <x:c r="L91" s="8"/>
    </x:row>
    <x:row r="92">
      <x:c r="A92" s="8"/>
      <x:c r="B92" s="12"/>
      <x:c r="C92" s="8"/>
      <x:c r="D92" s="8"/>
      <x:c r="E92" s="8"/>
      <x:c r="F92" s="12"/>
      <x:c r="G92" s="11"/>
      <x:c r="H92" s="8"/>
      <x:c r="I92" s="8"/>
      <x:c r="J92" s="8"/>
      <x:c r="K92" s="8"/>
      <x:c r="L92" s="8"/>
    </x:row>
    <x:row r="93">
      <x:c r="A93" s="8"/>
      <x:c r="B93" s="12"/>
      <x:c r="C93" s="8"/>
      <x:c r="D93" s="8"/>
      <x:c r="E93" s="8"/>
      <x:c r="F93" s="12"/>
      <x:c r="G93" s="11"/>
      <x:c r="H93" s="8"/>
      <x:c r="I93" s="8"/>
      <x:c r="J93" s="8"/>
      <x:c r="K93" s="8"/>
      <x:c r="L93" s="8"/>
    </x:row>
    <x:row r="94">
      <x:c r="A94" s="8"/>
      <x:c r="B94" s="12"/>
      <x:c r="C94" s="8"/>
      <x:c r="D94" s="8"/>
      <x:c r="E94" s="8"/>
      <x:c r="F94" s="12"/>
      <x:c r="G94" s="11"/>
      <x:c r="H94" s="8"/>
      <x:c r="I94" s="8"/>
      <x:c r="J94" s="8"/>
      <x:c r="K94" s="8"/>
      <x:c r="L94" s="8"/>
    </x:row>
    <x:row r="95">
      <x:c r="A95" s="8"/>
      <x:c r="B95" s="12"/>
      <x:c r="C95" s="8"/>
      <x:c r="D95" s="8"/>
      <x:c r="E95" s="8"/>
      <x:c r="F95" s="12"/>
      <x:c r="G95" s="11"/>
      <x:c r="H95" s="8"/>
      <x:c r="I95" s="8"/>
      <x:c r="J95" s="8"/>
      <x:c r="K95" s="8"/>
      <x:c r="L95" s="8"/>
    </x:row>
    <x:row r="96">
      <x:c r="A96" s="8"/>
      <x:c r="B96" s="12"/>
      <x:c r="C96" s="8"/>
      <x:c r="D96" s="8"/>
      <x:c r="E96" s="8"/>
      <x:c r="F96" s="12"/>
      <x:c r="G96" s="11"/>
      <x:c r="H96" s="8"/>
      <x:c r="I96" s="8"/>
      <x:c r="J96" s="8"/>
      <x:c r="K96" s="8"/>
      <x:c r="L96" s="8"/>
    </x:row>
    <x:row r="97">
      <x:c r="A97" s="8"/>
      <x:c r="B97" s="12"/>
      <x:c r="C97" s="8"/>
      <x:c r="D97" s="8"/>
      <x:c r="E97" s="8"/>
      <x:c r="F97" s="12"/>
      <x:c r="G97" s="11"/>
      <x:c r="H97" s="8"/>
      <x:c r="I97" s="8"/>
      <x:c r="J97" s="8"/>
      <x:c r="K97" s="8"/>
      <x:c r="L97" s="8"/>
    </x:row>
    <x:row r="98">
      <x:c r="A98" s="8"/>
      <x:c r="B98" s="12"/>
      <x:c r="C98" s="8"/>
      <x:c r="D98" s="8"/>
      <x:c r="E98" s="8"/>
      <x:c r="F98" s="12"/>
      <x:c r="G98" s="11"/>
      <x:c r="H98" s="8"/>
      <x:c r="I98" s="8"/>
      <x:c r="J98" s="8"/>
      <x:c r="K98" s="8"/>
      <x:c r="L98" s="8"/>
    </x:row>
    <x:row r="99">
      <x:c r="A99" s="8"/>
      <x:c r="B99" s="12"/>
      <x:c r="C99" s="8"/>
      <x:c r="D99" s="8"/>
      <x:c r="E99" s="8"/>
      <x:c r="F99" s="12"/>
      <x:c r="G99" s="11"/>
      <x:c r="H99" s="8"/>
      <x:c r="I99" s="8"/>
      <x:c r="J99" s="8"/>
      <x:c r="K99" s="8"/>
      <x:c r="L99" s="8"/>
    </x:row>
    <x:row r="100">
      <x:c r="A100" s="8"/>
      <x:c r="B100" s="12"/>
      <x:c r="C100" s="8"/>
      <x:c r="D100" s="8"/>
      <x:c r="E100" s="8"/>
      <x:c r="F100" s="12"/>
      <x:c r="G100" s="11"/>
      <x:c r="H100" s="8"/>
      <x:c r="I100" s="8"/>
      <x:c r="J100" s="8"/>
      <x:c r="K100" s="8"/>
      <x:c r="L100" s="8"/>
    </x:row>
    <x:row r="101">
      <x:c r="A101" s="8"/>
      <x:c r="B101" s="12"/>
      <x:c r="C101" s="8"/>
      <x:c r="D101" s="8"/>
      <x:c r="E101" s="8"/>
      <x:c r="F101" s="12"/>
      <x:c r="G101" s="11"/>
      <x:c r="H101" s="8"/>
      <x:c r="I101" s="8"/>
      <x:c r="J101" s="8"/>
      <x:c r="K101" s="8"/>
      <x:c r="L101" s="8"/>
    </x:row>
    <x:row r="102">
      <x:c r="A102" s="8"/>
      <x:c r="B102" s="12"/>
      <x:c r="C102" s="8"/>
      <x:c r="D102" s="8"/>
      <x:c r="E102" s="8"/>
      <x:c r="F102" s="12"/>
      <x:c r="G102" s="11"/>
      <x:c r="H102" s="8"/>
      <x:c r="I102" s="8"/>
      <x:c r="J102" s="8"/>
      <x:c r="K102" s="8"/>
      <x:c r="L102" s="8"/>
    </x:row>
    <x:row r="103">
      <x:c r="A103" s="8"/>
      <x:c r="B103" s="12"/>
      <x:c r="C103" s="8"/>
      <x:c r="D103" s="8"/>
      <x:c r="E103" s="8"/>
      <x:c r="F103" s="12"/>
      <x:c r="G103" s="11"/>
      <x:c r="H103" s="8"/>
      <x:c r="I103" s="8"/>
      <x:c r="J103" s="8"/>
      <x:c r="K103" s="8"/>
      <x:c r="L103" s="8"/>
    </x:row>
    <x:row r="104">
      <x:c r="A104" s="8"/>
      <x:c r="B104" s="12"/>
      <x:c r="C104" s="8"/>
      <x:c r="D104" s="8"/>
      <x:c r="E104" s="8"/>
      <x:c r="F104" s="12"/>
      <x:c r="G104" s="11"/>
      <x:c r="H104" s="8"/>
      <x:c r="I104" s="8"/>
      <x:c r="J104" s="8"/>
      <x:c r="K104" s="8"/>
      <x:c r="L104" s="8"/>
    </x:row>
  </x:sheetData>
  <x:mergeCells>
    <x:mergeCell ref="A1:H1"/>
    <x:mergeCell ref="A2:H2"/>
  </x:mergeCells>
  <x:dataValidations count="4">
    <x:dataValidation type="list" sqref="E5:E104">
      <x:formula1>Lists!$C$5:$C$11</x:formula1>
    </x:dataValidation>
    <x:dataValidation type="list" sqref="H5:H104">
      <x:formula1>"Yes,No"</x:formula1>
    </x:dataValidation>
    <x:dataValidation type="list" sqref="J5:J104">
      <x:formula1>Lists!$D$5:$D$8</x:formula1>
    </x:dataValidation>
    <x:dataValidation type="list" sqref="K5:K104">
      <x:formula1>Lists!$A$5:$A$11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5728126a294e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36.25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32.5" hidden="0" customWidth="1"/>
  </x:cols>
  <x:sheetData>
    <x:row r="1" ht="25.5" customHeight="1">
      <x:c r="A1" s="2" t="str">
        <x:v>Obligation Tracker</x:v>
      </x:c>
    </x:row>
    <x:row r="2">
      <x:c r="A2" s="10" t="str">
        <x:v>Convert signed clauses into owned operational tasks.</x:v>
      </x:c>
    </x:row>
    <x:row r="4">
      <x:c r="A4" s="6" t="str">
        <x:v>Obligation ID</x:v>
      </x:c>
      <x:c r="B4" s="6" t="str">
        <x:v>Contract ID</x:v>
      </x:c>
      <x:c r="C4" s="6" t="str">
        <x:v>Clause Ref</x:v>
      </x:c>
      <x:c r="D4" s="6" t="str">
        <x:v>Obligation</x:v>
      </x:c>
      <x:c r="E4" s="6" t="str">
        <x:v>Owner</x:v>
      </x:c>
      <x:c r="F4" s="6" t="str">
        <x:v>Frequency</x:v>
      </x:c>
      <x:c r="G4" s="6" t="str">
        <x:v>Due Date</x:v>
      </x:c>
      <x:c r="H4" s="6" t="str">
        <x:v>Status</x:v>
      </x:c>
      <x:c r="I4" s="6" t="str">
        <x:v>Days Left</x:v>
      </x:c>
      <x:c r="J4" s="6" t="str">
        <x:v>Evidence / Notes</x:v>
      </x:c>
    </x:row>
    <x:row r="5">
      <x:c r="A5" s="8" t="str">
        <x:v>OB-001</x:v>
      </x:c>
      <x:c r="B5" s="8" t="str">
        <x:v>CT-001</x:v>
      </x:c>
      <x:c r="C5" s="8" t="str">
        <x:v>SLA 2.1</x:v>
      </x:c>
      <x:c r="D5" s="8" t="str">
        <x:v>Send monthly uptime report</x:v>
      </x:c>
      <x:c r="E5" s="8" t="str">
        <x:v>Customer Success</x:v>
      </x:c>
      <x:c r="F5" s="8" t="str">
        <x:v>Monthly</x:v>
      </x:c>
      <x:c r="G5" s="12" t="n">
        <x:v>46208</x:v>
      </x:c>
      <x:c r="H5" s="8" t="str">
        <x:v>Open</x:v>
      </x:c>
      <x:c r="I5" s="13" t="n">
        <x:f>IF(G5="","",G5-TODAY())</x:f>
        <x:v>20</x:v>
      </x:c>
      <x:c r="J5" s="8" t="str">
        <x:v>Template stored in support folder.</x:v>
      </x:c>
    </x:row>
    <x:row r="6">
      <x:c r="A6" s="8" t="str">
        <x:v>OB-002</x:v>
      </x:c>
      <x:c r="B6" s="8" t="str">
        <x:v>CT-001</x:v>
      </x:c>
      <x:c r="C6" s="8" t="str">
        <x:v>Ins. 9.4</x:v>
      </x:c>
      <x:c r="D6" s="8" t="str">
        <x:v>Maintain cyber insurance certificate</x:v>
      </x:c>
      <x:c r="E6" s="8" t="str">
        <x:v>Finance</x:v>
      </x:c>
      <x:c r="F6" s="8" t="str">
        <x:v>Annual</x:v>
      </x:c>
      <x:c r="G6" s="12" t="n">
        <x:v>46357</x:v>
      </x:c>
      <x:c r="H6" s="8" t="str">
        <x:v>Open</x:v>
      </x:c>
      <x:c r="I6" s="13" t="n">
        <x:f>IF(G6="","",G6-TODAY())</x:f>
        <x:v>169</x:v>
      </x:c>
      <x:c r="J6" s="8" t="str">
        <x:v>Upload renewed certificate.</x:v>
      </x:c>
    </x:row>
    <x:row r="7">
      <x:c r="A7" s="8" t="str">
        <x:v>OB-003</x:v>
      </x:c>
      <x:c r="B7" s="8" t="str">
        <x:v>CT-003</x:v>
      </x:c>
      <x:c r="C7" s="8" t="str">
        <x:v>Price 4.2</x:v>
      </x:c>
      <x:c r="D7" s="8" t="str">
        <x:v>Review price increase notice</x:v>
      </x:c>
      <x:c r="E7" s="8" t="str">
        <x:v>Operations</x:v>
      </x:c>
      <x:c r="F7" s="8" t="str">
        <x:v>Annual</x:v>
      </x:c>
      <x:c r="G7" s="12" t="n">
        <x:v>46341</x:v>
      </x:c>
      <x:c r="H7" s="8" t="str">
        <x:v>Open</x:v>
      </x:c>
      <x:c r="I7" s="13" t="n">
        <x:f>IF(G7="","",G7-TODAY())</x:f>
        <x:v>153</x:v>
      </x:c>
      <x:c r="J7" s="8" t="str">
        <x:v>Must notify supplier before renewal.</x:v>
      </x:c>
    </x:row>
    <x:row r="8">
      <x:c r="A8" s="8" t="str">
        <x:v>OB-004</x:v>
      </x:c>
      <x:c r="B8" s="8" t="str">
        <x:v>CT-004</x:v>
      </x:c>
      <x:c r="C8" s="8" t="str">
        <x:v>SOW 3</x:v>
      </x:c>
      <x:c r="D8" s="8" t="str">
        <x:v>Confirm acceptance criteria for phase 1</x:v>
      </x:c>
      <x:c r="E8" s="8" t="str">
        <x:v>Customer Success</x:v>
      </x:c>
      <x:c r="F8" s="8" t="str">
        <x:v>One-time</x:v>
      </x:c>
      <x:c r="G8" s="12" t="n">
        <x:v>46213</x:v>
      </x:c>
      <x:c r="H8" s="8" t="str">
        <x:v>In Progress</x:v>
      </x:c>
      <x:c r="I8" s="13" t="n">
        <x:f>IF(G8="","",G8-TODAY())</x:f>
        <x:v>25</x:v>
      </x:c>
      <x:c r="J8" s="8" t="str">
        <x:v>Tie to milestone invoice.</x:v>
      </x:c>
    </x:row>
    <x:row r="9">
      <x:c r="A9" s="8" t="str">
        <x:v>OB-005</x:v>
      </x:c>
      <x:c r="B9" s="8" t="str">
        <x:v>CT-002</x:v>
      </x:c>
      <x:c r="C9" s="8" t="str">
        <x:v>DPA 5</x:v>
      </x:c>
      <x:c r="D9" s="8" t="str">
        <x:v>Confirm subprocessors list</x:v>
      </x:c>
      <x:c r="E9" s="8" t="str">
        <x:v>Security</x:v>
      </x:c>
      <x:c r="F9" s="8" t="str">
        <x:v>Quarterly</x:v>
      </x:c>
      <x:c r="G9" s="12" t="n">
        <x:v>46235</x:v>
      </x:c>
      <x:c r="H9" s="8" t="str">
        <x:v>Blocked</x:v>
      </x:c>
      <x:c r="I9" s="13" t="n">
        <x:f>IF(G9="","",G9-TODAY())</x:f>
        <x:v>47</x:v>
      </x:c>
      <x:c r="J9" s="8" t="str">
        <x:v>Waiting for vendor response.</x:v>
      </x:c>
    </x:row>
    <x:row r="10">
      <x:c r="A10" s="8" t="str">
        <x:v>OB-006</x:v>
      </x:c>
      <x:c r="B10" s="8" t="str">
        <x:v>CT-005</x:v>
      </x:c>
      <x:c r="C10" s="8" t="str">
        <x:v>Conf. 2</x:v>
      </x:c>
      <x:c r="D10" s="8" t="str">
        <x:v>Refresh NDA access list</x:v>
      </x:c>
      <x:c r="E10" s="8" t="str">
        <x:v>Partnerships</x:v>
      </x:c>
      <x:c r="F10" s="8" t="str">
        <x:v>Annual</x:v>
      </x:c>
      <x:c r="G10" s="12" t="n">
        <x:v>46539</x:v>
      </x:c>
      <x:c r="H10" s="8" t="str">
        <x:v>Open</x:v>
      </x:c>
      <x:c r="I10" s="13" t="n">
        <x:f>IF(G10="","",G10-TODAY())</x:f>
        <x:v>351</x:v>
      </x:c>
      <x:c r="J10" s="8" t="str">
        <x:v>Reminder set.</x:v>
      </x:c>
    </x:row>
    <x:row r="11">
      <x:c r="A11" s="8"/>
      <x:c r="B11" s="8"/>
      <x:c r="C11" s="8"/>
      <x:c r="D11" s="8"/>
      <x:c r="E11" s="8"/>
      <x:c r="F11" s="8"/>
      <x:c r="G11" s="12"/>
      <x:c r="H11" s="8"/>
      <x:c r="I11" s="13" t="str">
        <x:f>IF(G11="","",G11-TODAY())</x:f>
      </x:c>
      <x:c r="J11" s="8"/>
    </x:row>
    <x:row r="12">
      <x:c r="A12" s="8"/>
      <x:c r="B12" s="8"/>
      <x:c r="C12" s="8"/>
      <x:c r="D12" s="8"/>
      <x:c r="E12" s="8"/>
      <x:c r="F12" s="8"/>
      <x:c r="G12" s="12"/>
      <x:c r="H12" s="8"/>
      <x:c r="I12" s="13" t="str">
        <x:f>IF(G12="","",G12-TODAY())</x:f>
      </x:c>
      <x:c r="J12" s="8"/>
    </x:row>
    <x:row r="13">
      <x:c r="A13" s="8"/>
      <x:c r="B13" s="8"/>
      <x:c r="C13" s="8"/>
      <x:c r="D13" s="8"/>
      <x:c r="E13" s="8"/>
      <x:c r="F13" s="8"/>
      <x:c r="G13" s="12"/>
      <x:c r="H13" s="8"/>
      <x:c r="I13" s="13" t="str">
        <x:f>IF(G13="","",G13-TODAY())</x:f>
      </x:c>
      <x:c r="J13" s="8"/>
    </x:row>
    <x:row r="14">
      <x:c r="A14" s="8"/>
      <x:c r="B14" s="8"/>
      <x:c r="C14" s="8"/>
      <x:c r="D14" s="8"/>
      <x:c r="E14" s="8"/>
      <x:c r="F14" s="8"/>
      <x:c r="G14" s="12"/>
      <x:c r="H14" s="8"/>
      <x:c r="I14" s="13" t="str">
        <x:f>IF(G14="","",G14-TODAY())</x:f>
      </x:c>
      <x:c r="J14" s="8"/>
    </x:row>
    <x:row r="15">
      <x:c r="A15" s="8"/>
      <x:c r="B15" s="8"/>
      <x:c r="C15" s="8"/>
      <x:c r="D15" s="8"/>
      <x:c r="E15" s="8"/>
      <x:c r="F15" s="8"/>
      <x:c r="G15" s="12"/>
      <x:c r="H15" s="8"/>
      <x:c r="I15" s="13" t="str">
        <x:f>IF(G15="","",G15-TODAY())</x:f>
      </x:c>
      <x:c r="J15" s="8"/>
    </x:row>
    <x:row r="16">
      <x:c r="A16" s="8"/>
      <x:c r="B16" s="8"/>
      <x:c r="C16" s="8"/>
      <x:c r="D16" s="8"/>
      <x:c r="E16" s="8"/>
      <x:c r="F16" s="8"/>
      <x:c r="G16" s="12"/>
      <x:c r="H16" s="8"/>
      <x:c r="I16" s="13" t="str">
        <x:f>IF(G16="","",G16-TODAY())</x:f>
      </x:c>
      <x:c r="J16" s="8"/>
    </x:row>
    <x:row r="17">
      <x:c r="A17" s="8"/>
      <x:c r="B17" s="8"/>
      <x:c r="C17" s="8"/>
      <x:c r="D17" s="8"/>
      <x:c r="E17" s="8"/>
      <x:c r="F17" s="8"/>
      <x:c r="G17" s="12"/>
      <x:c r="H17" s="8"/>
      <x:c r="I17" s="13" t="str">
        <x:f>IF(G17="","",G17-TODAY())</x:f>
      </x:c>
      <x:c r="J17" s="8"/>
    </x:row>
    <x:row r="18">
      <x:c r="A18" s="8"/>
      <x:c r="B18" s="8"/>
      <x:c r="C18" s="8"/>
      <x:c r="D18" s="8"/>
      <x:c r="E18" s="8"/>
      <x:c r="F18" s="8"/>
      <x:c r="G18" s="12"/>
      <x:c r="H18" s="8"/>
      <x:c r="I18" s="13" t="str">
        <x:f>IF(G18="","",G18-TODAY())</x:f>
      </x:c>
      <x:c r="J18" s="8"/>
    </x:row>
    <x:row r="19">
      <x:c r="A19" s="8"/>
      <x:c r="B19" s="8"/>
      <x:c r="C19" s="8"/>
      <x:c r="D19" s="8"/>
      <x:c r="E19" s="8"/>
      <x:c r="F19" s="8"/>
      <x:c r="G19" s="12"/>
      <x:c r="H19" s="8"/>
      <x:c r="I19" s="13" t="str">
        <x:f>IF(G19="","",G19-TODAY())</x:f>
      </x:c>
      <x:c r="J19" s="8"/>
    </x:row>
    <x:row r="20">
      <x:c r="A20" s="8"/>
      <x:c r="B20" s="8"/>
      <x:c r="C20" s="8"/>
      <x:c r="D20" s="8"/>
      <x:c r="E20" s="8"/>
      <x:c r="F20" s="8"/>
      <x:c r="G20" s="12"/>
      <x:c r="H20" s="8"/>
      <x:c r="I20" s="13" t="str">
        <x:f>IF(G20="","",G20-TODAY())</x:f>
      </x:c>
      <x:c r="J20" s="8"/>
    </x:row>
    <x:row r="21">
      <x:c r="A21" s="8"/>
      <x:c r="B21" s="8"/>
      <x:c r="C21" s="8"/>
      <x:c r="D21" s="8"/>
      <x:c r="E21" s="8"/>
      <x:c r="F21" s="8"/>
      <x:c r="G21" s="12"/>
      <x:c r="H21" s="8"/>
      <x:c r="I21" s="13" t="str">
        <x:f>IF(G21="","",G21-TODAY())</x:f>
      </x:c>
      <x:c r="J21" s="8"/>
    </x:row>
    <x:row r="22">
      <x:c r="A22" s="8"/>
      <x:c r="B22" s="8"/>
      <x:c r="C22" s="8"/>
      <x:c r="D22" s="8"/>
      <x:c r="E22" s="8"/>
      <x:c r="F22" s="8"/>
      <x:c r="G22" s="12"/>
      <x:c r="H22" s="8"/>
      <x:c r="I22" s="13" t="str">
        <x:f>IF(G22="","",G22-TODAY())</x:f>
      </x:c>
      <x:c r="J22" s="8"/>
    </x:row>
    <x:row r="23">
      <x:c r="A23" s="8"/>
      <x:c r="B23" s="8"/>
      <x:c r="C23" s="8"/>
      <x:c r="D23" s="8"/>
      <x:c r="E23" s="8"/>
      <x:c r="F23" s="8"/>
      <x:c r="G23" s="12"/>
      <x:c r="H23" s="8"/>
      <x:c r="I23" s="13" t="str">
        <x:f>IF(G23="","",G23-TODAY())</x:f>
      </x:c>
      <x:c r="J23" s="8"/>
    </x:row>
    <x:row r="24">
      <x:c r="A24" s="8"/>
      <x:c r="B24" s="8"/>
      <x:c r="C24" s="8"/>
      <x:c r="D24" s="8"/>
      <x:c r="E24" s="8"/>
      <x:c r="F24" s="8"/>
      <x:c r="G24" s="12"/>
      <x:c r="H24" s="8"/>
      <x:c r="I24" s="13" t="str">
        <x:f>IF(G24="","",G24-TODAY())</x:f>
      </x:c>
      <x:c r="J24" s="8"/>
    </x:row>
    <x:row r="25">
      <x:c r="A25" s="8"/>
      <x:c r="B25" s="8"/>
      <x:c r="C25" s="8"/>
      <x:c r="D25" s="8"/>
      <x:c r="E25" s="8"/>
      <x:c r="F25" s="8"/>
      <x:c r="G25" s="12"/>
      <x:c r="H25" s="8"/>
      <x:c r="I25" s="13" t="str">
        <x:f>IF(G25="","",G25-TODAY())</x:f>
      </x:c>
      <x:c r="J25" s="8"/>
    </x:row>
    <x:row r="26">
      <x:c r="A26" s="8"/>
      <x:c r="B26" s="8"/>
      <x:c r="C26" s="8"/>
      <x:c r="D26" s="8"/>
      <x:c r="E26" s="8"/>
      <x:c r="F26" s="8"/>
      <x:c r="G26" s="12"/>
      <x:c r="H26" s="8"/>
      <x:c r="I26" s="13" t="str">
        <x:f>IF(G26="","",G26-TODAY())</x:f>
      </x:c>
      <x:c r="J26" s="8"/>
    </x:row>
    <x:row r="27">
      <x:c r="A27" s="8"/>
      <x:c r="B27" s="8"/>
      <x:c r="C27" s="8"/>
      <x:c r="D27" s="8"/>
      <x:c r="E27" s="8"/>
      <x:c r="F27" s="8"/>
      <x:c r="G27" s="12"/>
      <x:c r="H27" s="8"/>
      <x:c r="I27" s="13" t="str">
        <x:f>IF(G27="","",G27-TODAY())</x:f>
      </x:c>
      <x:c r="J27" s="8"/>
    </x:row>
    <x:row r="28">
      <x:c r="A28" s="8"/>
      <x:c r="B28" s="8"/>
      <x:c r="C28" s="8"/>
      <x:c r="D28" s="8"/>
      <x:c r="E28" s="8"/>
      <x:c r="F28" s="8"/>
      <x:c r="G28" s="12"/>
      <x:c r="H28" s="8"/>
      <x:c r="I28" s="13" t="str">
        <x:f>IF(G28="","",G28-TODAY())</x:f>
      </x:c>
      <x:c r="J28" s="8"/>
    </x:row>
    <x:row r="29">
      <x:c r="A29" s="8"/>
      <x:c r="B29" s="8"/>
      <x:c r="C29" s="8"/>
      <x:c r="D29" s="8"/>
      <x:c r="E29" s="8"/>
      <x:c r="F29" s="8"/>
      <x:c r="G29" s="12"/>
      <x:c r="H29" s="8"/>
      <x:c r="I29" s="13" t="str">
        <x:f>IF(G29="","",G29-TODAY())</x:f>
      </x:c>
      <x:c r="J29" s="8"/>
    </x:row>
    <x:row r="30">
      <x:c r="A30" s="8"/>
      <x:c r="B30" s="8"/>
      <x:c r="C30" s="8"/>
      <x:c r="D30" s="8"/>
      <x:c r="E30" s="8"/>
      <x:c r="F30" s="8"/>
      <x:c r="G30" s="12"/>
      <x:c r="H30" s="8"/>
      <x:c r="I30" s="13" t="str">
        <x:f>IF(G30="","",G30-TODAY())</x:f>
      </x:c>
      <x:c r="J30" s="8"/>
    </x:row>
    <x:row r="31">
      <x:c r="A31" s="8"/>
      <x:c r="B31" s="8"/>
      <x:c r="C31" s="8"/>
      <x:c r="D31" s="8"/>
      <x:c r="E31" s="8"/>
      <x:c r="F31" s="8"/>
      <x:c r="G31" s="12"/>
      <x:c r="H31" s="8"/>
      <x:c r="I31" s="13" t="str">
        <x:f>IF(G31="","",G31-TODAY())</x:f>
      </x:c>
      <x:c r="J31" s="8"/>
    </x:row>
    <x:row r="32">
      <x:c r="A32" s="8"/>
      <x:c r="B32" s="8"/>
      <x:c r="C32" s="8"/>
      <x:c r="D32" s="8"/>
      <x:c r="E32" s="8"/>
      <x:c r="F32" s="8"/>
      <x:c r="G32" s="12"/>
      <x:c r="H32" s="8"/>
      <x:c r="I32" s="13" t="str">
        <x:f>IF(G32="","",G32-TODAY())</x:f>
      </x:c>
      <x:c r="J32" s="8"/>
    </x:row>
    <x:row r="33">
      <x:c r="A33" s="8"/>
      <x:c r="B33" s="8"/>
      <x:c r="C33" s="8"/>
      <x:c r="D33" s="8"/>
      <x:c r="E33" s="8"/>
      <x:c r="F33" s="8"/>
      <x:c r="G33" s="12"/>
      <x:c r="H33" s="8"/>
      <x:c r="I33" s="13" t="str">
        <x:f>IF(G33="","",G33-TODAY())</x:f>
      </x:c>
      <x:c r="J33" s="8"/>
    </x:row>
    <x:row r="34">
      <x:c r="A34" s="8"/>
      <x:c r="B34" s="8"/>
      <x:c r="C34" s="8"/>
      <x:c r="D34" s="8"/>
      <x:c r="E34" s="8"/>
      <x:c r="F34" s="8"/>
      <x:c r="G34" s="12"/>
      <x:c r="H34" s="8"/>
      <x:c r="I34" s="13" t="str">
        <x:f>IF(G34="","",G34-TODAY())</x:f>
      </x:c>
      <x:c r="J34" s="8"/>
    </x:row>
    <x:row r="35">
      <x:c r="A35" s="8"/>
      <x:c r="B35" s="8"/>
      <x:c r="C35" s="8"/>
      <x:c r="D35" s="8"/>
      <x:c r="E35" s="8"/>
      <x:c r="F35" s="8"/>
      <x:c r="G35" s="12"/>
      <x:c r="H35" s="8"/>
      <x:c r="I35" s="13" t="str">
        <x:f>IF(G35="","",G35-TODAY())</x:f>
      </x:c>
      <x:c r="J35" s="8"/>
    </x:row>
    <x:row r="36">
      <x:c r="A36" s="8"/>
      <x:c r="B36" s="8"/>
      <x:c r="C36" s="8"/>
      <x:c r="D36" s="8"/>
      <x:c r="E36" s="8"/>
      <x:c r="F36" s="8"/>
      <x:c r="G36" s="12"/>
      <x:c r="H36" s="8"/>
      <x:c r="I36" s="13" t="str">
        <x:f>IF(G36="","",G36-TODAY())</x:f>
      </x:c>
      <x:c r="J36" s="8"/>
    </x:row>
    <x:row r="37">
      <x:c r="A37" s="8"/>
      <x:c r="B37" s="8"/>
      <x:c r="C37" s="8"/>
      <x:c r="D37" s="8"/>
      <x:c r="E37" s="8"/>
      <x:c r="F37" s="8"/>
      <x:c r="G37" s="12"/>
      <x:c r="H37" s="8"/>
      <x:c r="I37" s="13" t="str">
        <x:f>IF(G37="","",G37-TODAY())</x:f>
      </x:c>
      <x:c r="J37" s="8"/>
    </x:row>
    <x:row r="38">
      <x:c r="A38" s="8"/>
      <x:c r="B38" s="8"/>
      <x:c r="C38" s="8"/>
      <x:c r="D38" s="8"/>
      <x:c r="E38" s="8"/>
      <x:c r="F38" s="8"/>
      <x:c r="G38" s="12"/>
      <x:c r="H38" s="8"/>
      <x:c r="I38" s="13" t="str">
        <x:f>IF(G38="","",G38-TODAY())</x:f>
      </x:c>
      <x:c r="J38" s="8"/>
    </x:row>
    <x:row r="39">
      <x:c r="A39" s="8"/>
      <x:c r="B39" s="8"/>
      <x:c r="C39" s="8"/>
      <x:c r="D39" s="8"/>
      <x:c r="E39" s="8"/>
      <x:c r="F39" s="8"/>
      <x:c r="G39" s="12"/>
      <x:c r="H39" s="8"/>
      <x:c r="I39" s="13" t="str">
        <x:f>IF(G39="","",G39-TODAY())</x:f>
      </x:c>
      <x:c r="J39" s="8"/>
    </x:row>
    <x:row r="40">
      <x:c r="A40" s="8"/>
      <x:c r="B40" s="8"/>
      <x:c r="C40" s="8"/>
      <x:c r="D40" s="8"/>
      <x:c r="E40" s="8"/>
      <x:c r="F40" s="8"/>
      <x:c r="G40" s="12"/>
      <x:c r="H40" s="8"/>
      <x:c r="I40" s="13" t="str">
        <x:f>IF(G40="","",G40-TODAY())</x:f>
      </x:c>
      <x:c r="J40" s="8"/>
    </x:row>
    <x:row r="41">
      <x:c r="A41" s="8"/>
      <x:c r="B41" s="8"/>
      <x:c r="C41" s="8"/>
      <x:c r="D41" s="8"/>
      <x:c r="E41" s="8"/>
      <x:c r="F41" s="8"/>
      <x:c r="G41" s="12"/>
      <x:c r="H41" s="8"/>
      <x:c r="I41" s="13" t="str">
        <x:f>IF(G41="","",G41-TODAY())</x:f>
      </x:c>
      <x:c r="J41" s="8"/>
    </x:row>
    <x:row r="42">
      <x:c r="A42" s="8"/>
      <x:c r="B42" s="8"/>
      <x:c r="C42" s="8"/>
      <x:c r="D42" s="8"/>
      <x:c r="E42" s="8"/>
      <x:c r="F42" s="8"/>
      <x:c r="G42" s="12"/>
      <x:c r="H42" s="8"/>
      <x:c r="I42" s="13" t="str">
        <x:f>IF(G42="","",G42-TODAY())</x:f>
      </x:c>
      <x:c r="J42" s="8"/>
    </x:row>
    <x:row r="43">
      <x:c r="A43" s="8"/>
      <x:c r="B43" s="8"/>
      <x:c r="C43" s="8"/>
      <x:c r="D43" s="8"/>
      <x:c r="E43" s="8"/>
      <x:c r="F43" s="8"/>
      <x:c r="G43" s="12"/>
      <x:c r="H43" s="8"/>
      <x:c r="I43" s="13" t="str">
        <x:f>IF(G43="","",G43-TODAY())</x:f>
      </x:c>
      <x:c r="J43" s="8"/>
    </x:row>
    <x:row r="44">
      <x:c r="A44" s="8"/>
      <x:c r="B44" s="8"/>
      <x:c r="C44" s="8"/>
      <x:c r="D44" s="8"/>
      <x:c r="E44" s="8"/>
      <x:c r="F44" s="8"/>
      <x:c r="G44" s="12"/>
      <x:c r="H44" s="8"/>
      <x:c r="I44" s="13" t="str">
        <x:f>IF(G44="","",G44-TODAY())</x:f>
      </x:c>
      <x:c r="J44" s="8"/>
    </x:row>
    <x:row r="45">
      <x:c r="A45" s="8"/>
      <x:c r="B45" s="8"/>
      <x:c r="C45" s="8"/>
      <x:c r="D45" s="8"/>
      <x:c r="E45" s="8"/>
      <x:c r="F45" s="8"/>
      <x:c r="G45" s="12"/>
      <x:c r="H45" s="8"/>
      <x:c r="I45" s="13" t="str">
        <x:f>IF(G45="","",G45-TODAY())</x:f>
      </x:c>
      <x:c r="J45" s="8"/>
    </x:row>
    <x:row r="46">
      <x:c r="A46" s="8"/>
      <x:c r="B46" s="8"/>
      <x:c r="C46" s="8"/>
      <x:c r="D46" s="8"/>
      <x:c r="E46" s="8"/>
      <x:c r="F46" s="8"/>
      <x:c r="G46" s="12"/>
      <x:c r="H46" s="8"/>
      <x:c r="I46" s="13" t="str">
        <x:f>IF(G46="","",G46-TODAY())</x:f>
      </x:c>
      <x:c r="J46" s="8"/>
    </x:row>
    <x:row r="47">
      <x:c r="A47" s="8"/>
      <x:c r="B47" s="8"/>
      <x:c r="C47" s="8"/>
      <x:c r="D47" s="8"/>
      <x:c r="E47" s="8"/>
      <x:c r="F47" s="8"/>
      <x:c r="G47" s="12"/>
      <x:c r="H47" s="8"/>
      <x:c r="I47" s="13" t="str">
        <x:f>IF(G47="","",G47-TODAY())</x:f>
      </x:c>
      <x:c r="J47" s="8"/>
    </x:row>
    <x:row r="48">
      <x:c r="A48" s="8"/>
      <x:c r="B48" s="8"/>
      <x:c r="C48" s="8"/>
      <x:c r="D48" s="8"/>
      <x:c r="E48" s="8"/>
      <x:c r="F48" s="8"/>
      <x:c r="G48" s="12"/>
      <x:c r="H48" s="8"/>
      <x:c r="I48" s="13" t="str">
        <x:f>IF(G48="","",G48-TODAY())</x:f>
      </x:c>
      <x:c r="J48" s="8"/>
    </x:row>
    <x:row r="49">
      <x:c r="A49" s="8"/>
      <x:c r="B49" s="8"/>
      <x:c r="C49" s="8"/>
      <x:c r="D49" s="8"/>
      <x:c r="E49" s="8"/>
      <x:c r="F49" s="8"/>
      <x:c r="G49" s="12"/>
      <x:c r="H49" s="8"/>
      <x:c r="I49" s="13" t="str">
        <x:f>IF(G49="","",G49-TODAY())</x:f>
      </x:c>
      <x:c r="J49" s="8"/>
    </x:row>
    <x:row r="50">
      <x:c r="A50" s="8"/>
      <x:c r="B50" s="8"/>
      <x:c r="C50" s="8"/>
      <x:c r="D50" s="8"/>
      <x:c r="E50" s="8"/>
      <x:c r="F50" s="8"/>
      <x:c r="G50" s="12"/>
      <x:c r="H50" s="8"/>
      <x:c r="I50" s="13" t="str">
        <x:f>IF(G50="","",G50-TODAY())</x:f>
      </x:c>
      <x:c r="J50" s="8"/>
    </x:row>
    <x:row r="51">
      <x:c r="A51" s="8"/>
      <x:c r="B51" s="8"/>
      <x:c r="C51" s="8"/>
      <x:c r="D51" s="8"/>
      <x:c r="E51" s="8"/>
      <x:c r="F51" s="8"/>
      <x:c r="G51" s="12"/>
      <x:c r="H51" s="8"/>
      <x:c r="I51" s="13" t="str">
        <x:f>IF(G51="","",G51-TODAY())</x:f>
      </x:c>
      <x:c r="J51" s="8"/>
    </x:row>
    <x:row r="52">
      <x:c r="A52" s="8"/>
      <x:c r="B52" s="8"/>
      <x:c r="C52" s="8"/>
      <x:c r="D52" s="8"/>
      <x:c r="E52" s="8"/>
      <x:c r="F52" s="8"/>
      <x:c r="G52" s="12"/>
      <x:c r="H52" s="8"/>
      <x:c r="I52" s="13" t="str">
        <x:f>IF(G52="","",G52-TODAY())</x:f>
      </x:c>
      <x:c r="J52" s="8"/>
    </x:row>
    <x:row r="53">
      <x:c r="A53" s="8"/>
      <x:c r="B53" s="8"/>
      <x:c r="C53" s="8"/>
      <x:c r="D53" s="8"/>
      <x:c r="E53" s="8"/>
      <x:c r="F53" s="8"/>
      <x:c r="G53" s="12"/>
      <x:c r="H53" s="8"/>
      <x:c r="I53" s="13" t="str">
        <x:f>IF(G53="","",G53-TODAY())</x:f>
      </x:c>
      <x:c r="J53" s="8"/>
    </x:row>
    <x:row r="54">
      <x:c r="A54" s="8"/>
      <x:c r="B54" s="8"/>
      <x:c r="C54" s="8"/>
      <x:c r="D54" s="8"/>
      <x:c r="E54" s="8"/>
      <x:c r="F54" s="8"/>
      <x:c r="G54" s="12"/>
      <x:c r="H54" s="8"/>
      <x:c r="I54" s="13" t="str">
        <x:f>IF(G54="","",G54-TODAY())</x:f>
      </x:c>
      <x:c r="J54" s="8"/>
    </x:row>
    <x:row r="55">
      <x:c r="A55" s="8"/>
      <x:c r="B55" s="8"/>
      <x:c r="C55" s="8"/>
      <x:c r="D55" s="8"/>
      <x:c r="E55" s="8"/>
      <x:c r="F55" s="8"/>
      <x:c r="G55" s="12"/>
      <x:c r="H55" s="8"/>
      <x:c r="I55" s="13" t="str">
        <x:f>IF(G55="","",G55-TODAY())</x:f>
      </x:c>
      <x:c r="J55" s="8"/>
    </x:row>
    <x:row r="56">
      <x:c r="A56" s="8"/>
      <x:c r="B56" s="8"/>
      <x:c r="C56" s="8"/>
      <x:c r="D56" s="8"/>
      <x:c r="E56" s="8"/>
      <x:c r="F56" s="8"/>
      <x:c r="G56" s="12"/>
      <x:c r="H56" s="8"/>
      <x:c r="I56" s="13" t="str">
        <x:f>IF(G56="","",G56-TODAY())</x:f>
      </x:c>
      <x:c r="J56" s="8"/>
    </x:row>
    <x:row r="57">
      <x:c r="A57" s="8"/>
      <x:c r="B57" s="8"/>
      <x:c r="C57" s="8"/>
      <x:c r="D57" s="8"/>
      <x:c r="E57" s="8"/>
      <x:c r="F57" s="8"/>
      <x:c r="G57" s="12"/>
      <x:c r="H57" s="8"/>
      <x:c r="I57" s="13" t="str">
        <x:f>IF(G57="","",G57-TODAY())</x:f>
      </x:c>
      <x:c r="J57" s="8"/>
    </x:row>
    <x:row r="58">
      <x:c r="A58" s="8"/>
      <x:c r="B58" s="8"/>
      <x:c r="C58" s="8"/>
      <x:c r="D58" s="8"/>
      <x:c r="E58" s="8"/>
      <x:c r="F58" s="8"/>
      <x:c r="G58" s="12"/>
      <x:c r="H58" s="8"/>
      <x:c r="I58" s="13" t="str">
        <x:f>IF(G58="","",G58-TODAY())</x:f>
      </x:c>
      <x:c r="J58" s="8"/>
    </x:row>
    <x:row r="59">
      <x:c r="A59" s="8"/>
      <x:c r="B59" s="8"/>
      <x:c r="C59" s="8"/>
      <x:c r="D59" s="8"/>
      <x:c r="E59" s="8"/>
      <x:c r="F59" s="8"/>
      <x:c r="G59" s="12"/>
      <x:c r="H59" s="8"/>
      <x:c r="I59" s="13" t="str">
        <x:f>IF(G59="","",G59-TODAY())</x:f>
      </x:c>
      <x:c r="J59" s="8"/>
    </x:row>
    <x:row r="60">
      <x:c r="A60" s="8"/>
      <x:c r="B60" s="8"/>
      <x:c r="C60" s="8"/>
      <x:c r="D60" s="8"/>
      <x:c r="E60" s="8"/>
      <x:c r="F60" s="8"/>
      <x:c r="G60" s="12"/>
      <x:c r="H60" s="8"/>
      <x:c r="I60" s="13" t="str">
        <x:f>IF(G60="","",G60-TODAY())</x:f>
      </x:c>
      <x:c r="J60" s="8"/>
    </x:row>
    <x:row r="61">
      <x:c r="A61" s="8"/>
      <x:c r="B61" s="8"/>
      <x:c r="C61" s="8"/>
      <x:c r="D61" s="8"/>
      <x:c r="E61" s="8"/>
      <x:c r="F61" s="8"/>
      <x:c r="G61" s="12"/>
      <x:c r="H61" s="8"/>
      <x:c r="I61" s="13" t="str">
        <x:f>IF(G61="","",G61-TODAY())</x:f>
      </x:c>
      <x:c r="J61" s="8"/>
    </x:row>
    <x:row r="62">
      <x:c r="A62" s="8"/>
      <x:c r="B62" s="8"/>
      <x:c r="C62" s="8"/>
      <x:c r="D62" s="8"/>
      <x:c r="E62" s="8"/>
      <x:c r="F62" s="8"/>
      <x:c r="G62" s="12"/>
      <x:c r="H62" s="8"/>
      <x:c r="I62" s="13" t="str">
        <x:f>IF(G62="","",G62-TODAY())</x:f>
      </x:c>
      <x:c r="J62" s="8"/>
    </x:row>
    <x:row r="63">
      <x:c r="A63" s="8"/>
      <x:c r="B63" s="8"/>
      <x:c r="C63" s="8"/>
      <x:c r="D63" s="8"/>
      <x:c r="E63" s="8"/>
      <x:c r="F63" s="8"/>
      <x:c r="G63" s="12"/>
      <x:c r="H63" s="8"/>
      <x:c r="I63" s="13" t="str">
        <x:f>IF(G63="","",G63-TODAY())</x:f>
      </x:c>
      <x:c r="J63" s="8"/>
    </x:row>
    <x:row r="64">
      <x:c r="A64" s="8"/>
      <x:c r="B64" s="8"/>
      <x:c r="C64" s="8"/>
      <x:c r="D64" s="8"/>
      <x:c r="E64" s="8"/>
      <x:c r="F64" s="8"/>
      <x:c r="G64" s="12"/>
      <x:c r="H64" s="8"/>
      <x:c r="I64" s="13" t="str">
        <x:f>IF(G64="","",G64-TODAY())</x:f>
      </x:c>
      <x:c r="J64" s="8"/>
    </x:row>
    <x:row r="65">
      <x:c r="A65" s="8"/>
      <x:c r="B65" s="8"/>
      <x:c r="C65" s="8"/>
      <x:c r="D65" s="8"/>
      <x:c r="E65" s="8"/>
      <x:c r="F65" s="8"/>
      <x:c r="G65" s="12"/>
      <x:c r="H65" s="8"/>
      <x:c r="I65" s="13" t="str">
        <x:f>IF(G65="","",G65-TODAY())</x:f>
      </x:c>
      <x:c r="J65" s="8"/>
    </x:row>
    <x:row r="66">
      <x:c r="A66" s="8"/>
      <x:c r="B66" s="8"/>
      <x:c r="C66" s="8"/>
      <x:c r="D66" s="8"/>
      <x:c r="E66" s="8"/>
      <x:c r="F66" s="8"/>
      <x:c r="G66" s="12"/>
      <x:c r="H66" s="8"/>
      <x:c r="I66" s="13" t="str">
        <x:f>IF(G66="","",G66-TODAY())</x:f>
      </x:c>
      <x:c r="J66" s="8"/>
    </x:row>
    <x:row r="67">
      <x:c r="A67" s="8"/>
      <x:c r="B67" s="8"/>
      <x:c r="C67" s="8"/>
      <x:c r="D67" s="8"/>
      <x:c r="E67" s="8"/>
      <x:c r="F67" s="8"/>
      <x:c r="G67" s="12"/>
      <x:c r="H67" s="8"/>
      <x:c r="I67" s="13" t="str">
        <x:f>IF(G67="","",G67-TODAY())</x:f>
      </x:c>
      <x:c r="J67" s="8"/>
    </x:row>
    <x:row r="68">
      <x:c r="A68" s="8"/>
      <x:c r="B68" s="8"/>
      <x:c r="C68" s="8"/>
      <x:c r="D68" s="8"/>
      <x:c r="E68" s="8"/>
      <x:c r="F68" s="8"/>
      <x:c r="G68" s="12"/>
      <x:c r="H68" s="8"/>
      <x:c r="I68" s="13" t="str">
        <x:f>IF(G68="","",G68-TODAY())</x:f>
      </x:c>
      <x:c r="J68" s="8"/>
    </x:row>
    <x:row r="69">
      <x:c r="A69" s="8"/>
      <x:c r="B69" s="8"/>
      <x:c r="C69" s="8"/>
      <x:c r="D69" s="8"/>
      <x:c r="E69" s="8"/>
      <x:c r="F69" s="8"/>
      <x:c r="G69" s="12"/>
      <x:c r="H69" s="8"/>
      <x:c r="I69" s="13" t="str">
        <x:f>IF(G69="","",G69-TODAY())</x:f>
      </x:c>
      <x:c r="J69" s="8"/>
    </x:row>
    <x:row r="70">
      <x:c r="A70" s="8"/>
      <x:c r="B70" s="8"/>
      <x:c r="C70" s="8"/>
      <x:c r="D70" s="8"/>
      <x:c r="E70" s="8"/>
      <x:c r="F70" s="8"/>
      <x:c r="G70" s="12"/>
      <x:c r="H70" s="8"/>
      <x:c r="I70" s="13" t="str">
        <x:f>IF(G70="","",G70-TODAY())</x:f>
      </x:c>
      <x:c r="J70" s="8"/>
    </x:row>
    <x:row r="71">
      <x:c r="A71" s="8"/>
      <x:c r="B71" s="8"/>
      <x:c r="C71" s="8"/>
      <x:c r="D71" s="8"/>
      <x:c r="E71" s="8"/>
      <x:c r="F71" s="8"/>
      <x:c r="G71" s="12"/>
      <x:c r="H71" s="8"/>
      <x:c r="I71" s="13" t="str">
        <x:f>IF(G71="","",G71-TODAY())</x:f>
      </x:c>
      <x:c r="J71" s="8"/>
    </x:row>
    <x:row r="72">
      <x:c r="A72" s="8"/>
      <x:c r="B72" s="8"/>
      <x:c r="C72" s="8"/>
      <x:c r="D72" s="8"/>
      <x:c r="E72" s="8"/>
      <x:c r="F72" s="8"/>
      <x:c r="G72" s="12"/>
      <x:c r="H72" s="8"/>
      <x:c r="I72" s="13" t="str">
        <x:f>IF(G72="","",G72-TODAY())</x:f>
      </x:c>
      <x:c r="J72" s="8"/>
    </x:row>
    <x:row r="73">
      <x:c r="A73" s="8"/>
      <x:c r="B73" s="8"/>
      <x:c r="C73" s="8"/>
      <x:c r="D73" s="8"/>
      <x:c r="E73" s="8"/>
      <x:c r="F73" s="8"/>
      <x:c r="G73" s="12"/>
      <x:c r="H73" s="8"/>
      <x:c r="I73" s="13" t="str">
        <x:f>IF(G73="","",G73-TODAY())</x:f>
      </x:c>
      <x:c r="J73" s="8"/>
    </x:row>
    <x:row r="74">
      <x:c r="A74" s="8"/>
      <x:c r="B74" s="8"/>
      <x:c r="C74" s="8"/>
      <x:c r="D74" s="8"/>
      <x:c r="E74" s="8"/>
      <x:c r="F74" s="8"/>
      <x:c r="G74" s="12"/>
      <x:c r="H74" s="8"/>
      <x:c r="I74" s="13" t="str">
        <x:f>IF(G74="","",G74-TODAY())</x:f>
      </x:c>
      <x:c r="J74" s="8"/>
    </x:row>
    <x:row r="75">
      <x:c r="A75" s="8"/>
      <x:c r="B75" s="8"/>
      <x:c r="C75" s="8"/>
      <x:c r="D75" s="8"/>
      <x:c r="E75" s="8"/>
      <x:c r="F75" s="8"/>
      <x:c r="G75" s="12"/>
      <x:c r="H75" s="8"/>
      <x:c r="I75" s="13" t="str">
        <x:f>IF(G75="","",G75-TODAY())</x:f>
      </x:c>
      <x:c r="J75" s="8"/>
    </x:row>
    <x:row r="76">
      <x:c r="A76" s="8"/>
      <x:c r="B76" s="8"/>
      <x:c r="C76" s="8"/>
      <x:c r="D76" s="8"/>
      <x:c r="E76" s="8"/>
      <x:c r="F76" s="8"/>
      <x:c r="G76" s="12"/>
      <x:c r="H76" s="8"/>
      <x:c r="I76" s="13" t="str">
        <x:f>IF(G76="","",G76-TODAY())</x:f>
      </x:c>
      <x:c r="J76" s="8"/>
    </x:row>
    <x:row r="77">
      <x:c r="A77" s="8"/>
      <x:c r="B77" s="8"/>
      <x:c r="C77" s="8"/>
      <x:c r="D77" s="8"/>
      <x:c r="E77" s="8"/>
      <x:c r="F77" s="8"/>
      <x:c r="G77" s="12"/>
      <x:c r="H77" s="8"/>
      <x:c r="I77" s="13" t="str">
        <x:f>IF(G77="","",G77-TODAY())</x:f>
      </x:c>
      <x:c r="J77" s="8"/>
    </x:row>
    <x:row r="78">
      <x:c r="A78" s="8"/>
      <x:c r="B78" s="8"/>
      <x:c r="C78" s="8"/>
      <x:c r="D78" s="8"/>
      <x:c r="E78" s="8"/>
      <x:c r="F78" s="8"/>
      <x:c r="G78" s="12"/>
      <x:c r="H78" s="8"/>
      <x:c r="I78" s="13" t="str">
        <x:f>IF(G78="","",G78-TODAY())</x:f>
      </x:c>
      <x:c r="J78" s="8"/>
    </x:row>
    <x:row r="79">
      <x:c r="A79" s="8"/>
      <x:c r="B79" s="8"/>
      <x:c r="C79" s="8"/>
      <x:c r="D79" s="8"/>
      <x:c r="E79" s="8"/>
      <x:c r="F79" s="8"/>
      <x:c r="G79" s="12"/>
      <x:c r="H79" s="8"/>
      <x:c r="I79" s="13" t="str">
        <x:f>IF(G79="","",G79-TODAY())</x:f>
      </x:c>
      <x:c r="J79" s="8"/>
    </x:row>
    <x:row r="80">
      <x:c r="A80" s="8"/>
      <x:c r="B80" s="8"/>
      <x:c r="C80" s="8"/>
      <x:c r="D80" s="8"/>
      <x:c r="E80" s="8"/>
      <x:c r="F80" s="8"/>
      <x:c r="G80" s="12"/>
      <x:c r="H80" s="8"/>
      <x:c r="I80" s="13" t="str">
        <x:f>IF(G80="","",G80-TODAY())</x:f>
      </x:c>
      <x:c r="J80" s="8"/>
    </x:row>
    <x:row r="81">
      <x:c r="A81" s="8"/>
      <x:c r="B81" s="8"/>
      <x:c r="C81" s="8"/>
      <x:c r="D81" s="8"/>
      <x:c r="E81" s="8"/>
      <x:c r="F81" s="8"/>
      <x:c r="G81" s="12"/>
      <x:c r="H81" s="8"/>
      <x:c r="I81" s="13" t="str">
        <x:f>IF(G81="","",G81-TODAY())</x:f>
      </x:c>
      <x:c r="J81" s="8"/>
    </x:row>
    <x:row r="82">
      <x:c r="A82" s="8"/>
      <x:c r="B82" s="8"/>
      <x:c r="C82" s="8"/>
      <x:c r="D82" s="8"/>
      <x:c r="E82" s="8"/>
      <x:c r="F82" s="8"/>
      <x:c r="G82" s="12"/>
      <x:c r="H82" s="8"/>
      <x:c r="I82" s="13" t="str">
        <x:f>IF(G82="","",G82-TODAY())</x:f>
      </x:c>
      <x:c r="J82" s="8"/>
    </x:row>
    <x:row r="83">
      <x:c r="A83" s="8"/>
      <x:c r="B83" s="8"/>
      <x:c r="C83" s="8"/>
      <x:c r="D83" s="8"/>
      <x:c r="E83" s="8"/>
      <x:c r="F83" s="8"/>
      <x:c r="G83" s="12"/>
      <x:c r="H83" s="8"/>
      <x:c r="I83" s="13" t="str">
        <x:f>IF(G83="","",G83-TODAY())</x:f>
      </x:c>
      <x:c r="J83" s="8"/>
    </x:row>
    <x:row r="84">
      <x:c r="A84" s="8"/>
      <x:c r="B84" s="8"/>
      <x:c r="C84" s="8"/>
      <x:c r="D84" s="8"/>
      <x:c r="E84" s="8"/>
      <x:c r="F84" s="8"/>
      <x:c r="G84" s="12"/>
      <x:c r="H84" s="8"/>
      <x:c r="I84" s="13" t="str">
        <x:f>IF(G84="","",G84-TODAY())</x:f>
      </x:c>
      <x:c r="J84" s="8"/>
    </x:row>
    <x:row r="85">
      <x:c r="A85" s="8"/>
      <x:c r="B85" s="8"/>
      <x:c r="C85" s="8"/>
      <x:c r="D85" s="8"/>
      <x:c r="E85" s="8"/>
      <x:c r="F85" s="8"/>
      <x:c r="G85" s="12"/>
      <x:c r="H85" s="8"/>
      <x:c r="I85" s="13" t="str">
        <x:f>IF(G85="","",G85-TODAY())</x:f>
      </x:c>
      <x:c r="J85" s="8"/>
    </x:row>
    <x:row r="86">
      <x:c r="A86" s="8"/>
      <x:c r="B86" s="8"/>
      <x:c r="C86" s="8"/>
      <x:c r="D86" s="8"/>
      <x:c r="E86" s="8"/>
      <x:c r="F86" s="8"/>
      <x:c r="G86" s="12"/>
      <x:c r="H86" s="8"/>
      <x:c r="I86" s="13" t="str">
        <x:f>IF(G86="","",G86-TODAY())</x:f>
      </x:c>
      <x:c r="J86" s="8"/>
    </x:row>
    <x:row r="87">
      <x:c r="A87" s="8"/>
      <x:c r="B87" s="8"/>
      <x:c r="C87" s="8"/>
      <x:c r="D87" s="8"/>
      <x:c r="E87" s="8"/>
      <x:c r="F87" s="8"/>
      <x:c r="G87" s="12"/>
      <x:c r="H87" s="8"/>
      <x:c r="I87" s="13" t="str">
        <x:f>IF(G87="","",G87-TODAY())</x:f>
      </x:c>
      <x:c r="J87" s="8"/>
    </x:row>
    <x:row r="88">
      <x:c r="A88" s="8"/>
      <x:c r="B88" s="8"/>
      <x:c r="C88" s="8"/>
      <x:c r="D88" s="8"/>
      <x:c r="E88" s="8"/>
      <x:c r="F88" s="8"/>
      <x:c r="G88" s="12"/>
      <x:c r="H88" s="8"/>
      <x:c r="I88" s="13" t="str">
        <x:f>IF(G88="","",G88-TODAY())</x:f>
      </x:c>
      <x:c r="J88" s="8"/>
    </x:row>
    <x:row r="89">
      <x:c r="A89" s="8"/>
      <x:c r="B89" s="8"/>
      <x:c r="C89" s="8"/>
      <x:c r="D89" s="8"/>
      <x:c r="E89" s="8"/>
      <x:c r="F89" s="8"/>
      <x:c r="G89" s="12"/>
      <x:c r="H89" s="8"/>
      <x:c r="I89" s="13" t="str">
        <x:f>IF(G89="","",G89-TODAY())</x:f>
      </x:c>
      <x:c r="J89" s="8"/>
    </x:row>
    <x:row r="90">
      <x:c r="A90" s="8"/>
      <x:c r="B90" s="8"/>
      <x:c r="C90" s="8"/>
      <x:c r="D90" s="8"/>
      <x:c r="E90" s="8"/>
      <x:c r="F90" s="8"/>
      <x:c r="G90" s="12"/>
      <x:c r="H90" s="8"/>
      <x:c r="I90" s="13" t="str">
        <x:f>IF(G90="","",G90-TODAY())</x:f>
      </x:c>
      <x:c r="J90" s="8"/>
    </x:row>
    <x:row r="91">
      <x:c r="A91" s="8"/>
      <x:c r="B91" s="8"/>
      <x:c r="C91" s="8"/>
      <x:c r="D91" s="8"/>
      <x:c r="E91" s="8"/>
      <x:c r="F91" s="8"/>
      <x:c r="G91" s="12"/>
      <x:c r="H91" s="8"/>
      <x:c r="I91" s="13" t="str">
        <x:f>IF(G91="","",G91-TODAY())</x:f>
      </x:c>
      <x:c r="J91" s="8"/>
    </x:row>
    <x:row r="92">
      <x:c r="A92" s="8"/>
      <x:c r="B92" s="8"/>
      <x:c r="C92" s="8"/>
      <x:c r="D92" s="8"/>
      <x:c r="E92" s="8"/>
      <x:c r="F92" s="8"/>
      <x:c r="G92" s="12"/>
      <x:c r="H92" s="8"/>
      <x:c r="I92" s="13" t="str">
        <x:f>IF(G92="","",G92-TODAY())</x:f>
      </x:c>
      <x:c r="J92" s="8"/>
    </x:row>
    <x:row r="93">
      <x:c r="A93" s="8"/>
      <x:c r="B93" s="8"/>
      <x:c r="C93" s="8"/>
      <x:c r="D93" s="8"/>
      <x:c r="E93" s="8"/>
      <x:c r="F93" s="8"/>
      <x:c r="G93" s="12"/>
      <x:c r="H93" s="8"/>
      <x:c r="I93" s="13" t="str">
        <x:f>IF(G93="","",G93-TODAY())</x:f>
      </x:c>
      <x:c r="J93" s="8"/>
    </x:row>
    <x:row r="94">
      <x:c r="A94" s="8"/>
      <x:c r="B94" s="8"/>
      <x:c r="C94" s="8"/>
      <x:c r="D94" s="8"/>
      <x:c r="E94" s="8"/>
      <x:c r="F94" s="8"/>
      <x:c r="G94" s="12"/>
      <x:c r="H94" s="8"/>
      <x:c r="I94" s="13" t="str">
        <x:f>IF(G94="","",G94-TODAY())</x:f>
      </x:c>
      <x:c r="J94" s="8"/>
    </x:row>
    <x:row r="95">
      <x:c r="A95" s="8"/>
      <x:c r="B95" s="8"/>
      <x:c r="C95" s="8"/>
      <x:c r="D95" s="8"/>
      <x:c r="E95" s="8"/>
      <x:c r="F95" s="8"/>
      <x:c r="G95" s="12"/>
      <x:c r="H95" s="8"/>
      <x:c r="I95" s="13" t="str">
        <x:f>IF(G95="","",G95-TODAY())</x:f>
      </x:c>
      <x:c r="J95" s="8"/>
    </x:row>
    <x:row r="96">
      <x:c r="A96" s="8"/>
      <x:c r="B96" s="8"/>
      <x:c r="C96" s="8"/>
      <x:c r="D96" s="8"/>
      <x:c r="E96" s="8"/>
      <x:c r="F96" s="8"/>
      <x:c r="G96" s="12"/>
      <x:c r="H96" s="8"/>
      <x:c r="I96" s="13" t="str">
        <x:f>IF(G96="","",G96-TODAY())</x:f>
      </x:c>
      <x:c r="J96" s="8"/>
    </x:row>
    <x:row r="97">
      <x:c r="A97" s="8"/>
      <x:c r="B97" s="8"/>
      <x:c r="C97" s="8"/>
      <x:c r="D97" s="8"/>
      <x:c r="E97" s="8"/>
      <x:c r="F97" s="8"/>
      <x:c r="G97" s="12"/>
      <x:c r="H97" s="8"/>
      <x:c r="I97" s="13" t="str">
        <x:f>IF(G97="","",G97-TODAY())</x:f>
      </x:c>
      <x:c r="J97" s="8"/>
    </x:row>
    <x:row r="98">
      <x:c r="A98" s="8"/>
      <x:c r="B98" s="8"/>
      <x:c r="C98" s="8"/>
      <x:c r="D98" s="8"/>
      <x:c r="E98" s="8"/>
      <x:c r="F98" s="8"/>
      <x:c r="G98" s="12"/>
      <x:c r="H98" s="8"/>
      <x:c r="I98" s="13" t="str">
        <x:f>IF(G98="","",G98-TODAY())</x:f>
      </x:c>
      <x:c r="J98" s="8"/>
    </x:row>
    <x:row r="99">
      <x:c r="A99" s="8"/>
      <x:c r="B99" s="8"/>
      <x:c r="C99" s="8"/>
      <x:c r="D99" s="8"/>
      <x:c r="E99" s="8"/>
      <x:c r="F99" s="8"/>
      <x:c r="G99" s="12"/>
      <x:c r="H99" s="8"/>
      <x:c r="I99" s="13" t="str">
        <x:f>IF(G99="","",G99-TODAY())</x:f>
      </x:c>
      <x:c r="J99" s="8"/>
    </x:row>
    <x:row r="100">
      <x:c r="A100" s="8"/>
      <x:c r="B100" s="8"/>
      <x:c r="C100" s="8"/>
      <x:c r="D100" s="8"/>
      <x:c r="E100" s="8"/>
      <x:c r="F100" s="8"/>
      <x:c r="G100" s="12"/>
      <x:c r="H100" s="8"/>
      <x:c r="I100" s="13" t="str">
        <x:f>IF(G100="","",G100-TODAY())</x:f>
      </x:c>
      <x:c r="J100" s="8"/>
    </x:row>
    <x:row r="101">
      <x:c r="A101" s="8"/>
      <x:c r="B101" s="8"/>
      <x:c r="C101" s="8"/>
      <x:c r="D101" s="8"/>
      <x:c r="E101" s="8"/>
      <x:c r="F101" s="8"/>
      <x:c r="G101" s="12"/>
      <x:c r="H101" s="8"/>
      <x:c r="I101" s="13" t="str">
        <x:f>IF(G101="","",G101-TODAY())</x:f>
      </x:c>
      <x:c r="J101" s="8"/>
    </x:row>
    <x:row r="102">
      <x:c r="A102" s="8"/>
      <x:c r="B102" s="8"/>
      <x:c r="C102" s="8"/>
      <x:c r="D102" s="8"/>
      <x:c r="E102" s="8"/>
      <x:c r="F102" s="8"/>
      <x:c r="G102" s="12"/>
      <x:c r="H102" s="8"/>
      <x:c r="I102" s="13" t="str">
        <x:f>IF(G102="","",G102-TODAY())</x:f>
      </x:c>
      <x:c r="J102" s="8"/>
    </x:row>
    <x:row r="103">
      <x:c r="A103" s="8"/>
      <x:c r="B103" s="8"/>
      <x:c r="C103" s="8"/>
      <x:c r="D103" s="8"/>
      <x:c r="E103" s="8"/>
      <x:c r="F103" s="8"/>
      <x:c r="G103" s="12"/>
      <x:c r="H103" s="8"/>
      <x:c r="I103" s="13" t="str">
        <x:f>IF(G103="","",G103-TODAY())</x:f>
      </x:c>
      <x:c r="J103" s="8"/>
    </x:row>
    <x:row r="104">
      <x:c r="A104" s="8"/>
      <x:c r="B104" s="8"/>
      <x:c r="C104" s="8"/>
      <x:c r="D104" s="8"/>
      <x:c r="E104" s="8"/>
      <x:c r="F104" s="8"/>
      <x:c r="G104" s="12"/>
      <x:c r="H104" s="8"/>
      <x:c r="I104" s="13" t="str">
        <x:f>IF(G104="","",G104-TODAY())</x:f>
      </x:c>
      <x:c r="J104" s="8"/>
    </x:row>
    <x:row r="105">
      <x:c r="A105" s="8"/>
      <x:c r="B105" s="8"/>
      <x:c r="C105" s="8"/>
      <x:c r="D105" s="8"/>
      <x:c r="E105" s="8"/>
      <x:c r="F105" s="8"/>
      <x:c r="G105" s="12"/>
      <x:c r="H105" s="8"/>
      <x:c r="I105" s="13" t="str">
        <x:f>IF(G105="","",G105-TODAY())</x:f>
      </x:c>
      <x:c r="J105" s="8"/>
    </x:row>
    <x:row r="106">
      <x:c r="A106" s="8"/>
      <x:c r="B106" s="8"/>
      <x:c r="C106" s="8"/>
      <x:c r="D106" s="8"/>
      <x:c r="E106" s="8"/>
      <x:c r="F106" s="8"/>
      <x:c r="G106" s="12"/>
      <x:c r="H106" s="8"/>
      <x:c r="I106" s="13" t="str">
        <x:f>IF(G106="","",G106-TODAY())</x:f>
      </x:c>
      <x:c r="J106" s="8"/>
    </x:row>
    <x:row r="107">
      <x:c r="A107" s="8"/>
      <x:c r="B107" s="8"/>
      <x:c r="C107" s="8"/>
      <x:c r="D107" s="8"/>
      <x:c r="E107" s="8"/>
      <x:c r="F107" s="8"/>
      <x:c r="G107" s="12"/>
      <x:c r="H107" s="8"/>
      <x:c r="I107" s="13" t="str">
        <x:f>IF(G107="","",G107-TODAY())</x:f>
      </x:c>
      <x:c r="J107" s="8"/>
    </x:row>
    <x:row r="108">
      <x:c r="A108" s="8"/>
      <x:c r="B108" s="8"/>
      <x:c r="C108" s="8"/>
      <x:c r="D108" s="8"/>
      <x:c r="E108" s="8"/>
      <x:c r="F108" s="8"/>
      <x:c r="G108" s="12"/>
      <x:c r="H108" s="8"/>
      <x:c r="I108" s="13" t="str">
        <x:f>IF(G108="","",G108-TODAY())</x:f>
      </x:c>
      <x:c r="J108" s="8"/>
    </x:row>
    <x:row r="109">
      <x:c r="A109" s="8"/>
      <x:c r="B109" s="8"/>
      <x:c r="C109" s="8"/>
      <x:c r="D109" s="8"/>
      <x:c r="E109" s="8"/>
      <x:c r="F109" s="8"/>
      <x:c r="G109" s="12"/>
      <x:c r="H109" s="8"/>
      <x:c r="I109" s="13" t="str">
        <x:f>IF(G109="","",G109-TODAY())</x:f>
      </x:c>
      <x:c r="J109" s="8"/>
    </x:row>
    <x:row r="110">
      <x:c r="A110" s="8"/>
      <x:c r="B110" s="8"/>
      <x:c r="C110" s="8"/>
      <x:c r="D110" s="8"/>
      <x:c r="E110" s="8"/>
      <x:c r="F110" s="8"/>
      <x:c r="G110" s="12"/>
      <x:c r="H110" s="8"/>
      <x:c r="I110" s="13" t="str">
        <x:f>IF(G110="","",G110-TODAY())</x:f>
      </x:c>
      <x:c r="J110" s="8"/>
    </x:row>
    <x:row r="111">
      <x:c r="A111" s="8"/>
      <x:c r="B111" s="8"/>
      <x:c r="C111" s="8"/>
      <x:c r="D111" s="8"/>
      <x:c r="E111" s="8"/>
      <x:c r="F111" s="8"/>
      <x:c r="G111" s="12"/>
      <x:c r="H111" s="8"/>
      <x:c r="I111" s="13" t="str">
        <x:f>IF(G111="","",G111-TODAY())</x:f>
      </x:c>
      <x:c r="J111" s="8"/>
    </x:row>
    <x:row r="112">
      <x:c r="A112" s="8"/>
      <x:c r="B112" s="8"/>
      <x:c r="C112" s="8"/>
      <x:c r="D112" s="8"/>
      <x:c r="E112" s="8"/>
      <x:c r="F112" s="8"/>
      <x:c r="G112" s="12"/>
      <x:c r="H112" s="8"/>
      <x:c r="I112" s="13" t="str">
        <x:f>IF(G112="","",G112-TODAY())</x:f>
      </x:c>
      <x:c r="J112" s="8"/>
    </x:row>
    <x:row r="113">
      <x:c r="A113" s="8"/>
      <x:c r="B113" s="8"/>
      <x:c r="C113" s="8"/>
      <x:c r="D113" s="8"/>
      <x:c r="E113" s="8"/>
      <x:c r="F113" s="8"/>
      <x:c r="G113" s="12"/>
      <x:c r="H113" s="8"/>
      <x:c r="I113" s="13" t="str">
        <x:f>IF(G113="","",G113-TODAY())</x:f>
      </x:c>
      <x:c r="J113" s="8"/>
    </x:row>
    <x:row r="114">
      <x:c r="A114" s="8"/>
      <x:c r="B114" s="8"/>
      <x:c r="C114" s="8"/>
      <x:c r="D114" s="8"/>
      <x:c r="E114" s="8"/>
      <x:c r="F114" s="8"/>
      <x:c r="G114" s="12"/>
      <x:c r="H114" s="8"/>
      <x:c r="I114" s="13" t="str">
        <x:f>IF(G114="","",G114-TODAY())</x:f>
      </x:c>
      <x:c r="J114" s="8"/>
    </x:row>
    <x:row r="115">
      <x:c r="A115" s="8"/>
      <x:c r="B115" s="8"/>
      <x:c r="C115" s="8"/>
      <x:c r="D115" s="8"/>
      <x:c r="E115" s="8"/>
      <x:c r="F115" s="8"/>
      <x:c r="G115" s="12"/>
      <x:c r="H115" s="8"/>
      <x:c r="I115" s="13" t="str">
        <x:f>IF(G115="","",G115-TODAY())</x:f>
      </x:c>
      <x:c r="J115" s="8"/>
    </x:row>
    <x:row r="116">
      <x:c r="A116" s="8"/>
      <x:c r="B116" s="8"/>
      <x:c r="C116" s="8"/>
      <x:c r="D116" s="8"/>
      <x:c r="E116" s="8"/>
      <x:c r="F116" s="8"/>
      <x:c r="G116" s="12"/>
      <x:c r="H116" s="8"/>
      <x:c r="I116" s="13" t="str">
        <x:f>IF(G116="","",G116-TODAY())</x:f>
      </x:c>
      <x:c r="J116" s="8"/>
    </x:row>
    <x:row r="117">
      <x:c r="A117" s="8"/>
      <x:c r="B117" s="8"/>
      <x:c r="C117" s="8"/>
      <x:c r="D117" s="8"/>
      <x:c r="E117" s="8"/>
      <x:c r="F117" s="8"/>
      <x:c r="G117" s="12"/>
      <x:c r="H117" s="8"/>
      <x:c r="I117" s="13" t="str">
        <x:f>IF(G117="","",G117-TODAY())</x:f>
      </x:c>
      <x:c r="J117" s="8"/>
    </x:row>
    <x:row r="118">
      <x:c r="A118" s="8"/>
      <x:c r="B118" s="8"/>
      <x:c r="C118" s="8"/>
      <x:c r="D118" s="8"/>
      <x:c r="E118" s="8"/>
      <x:c r="F118" s="8"/>
      <x:c r="G118" s="12"/>
      <x:c r="H118" s="8"/>
      <x:c r="I118" s="13" t="str">
        <x:f>IF(G118="","",G118-TODAY())</x:f>
      </x:c>
      <x:c r="J118" s="8"/>
    </x:row>
    <x:row r="119">
      <x:c r="A119" s="8"/>
      <x:c r="B119" s="8"/>
      <x:c r="C119" s="8"/>
      <x:c r="D119" s="8"/>
      <x:c r="E119" s="8"/>
      <x:c r="F119" s="8"/>
      <x:c r="G119" s="12"/>
      <x:c r="H119" s="8"/>
      <x:c r="I119" s="13" t="str">
        <x:f>IF(G119="","",G119-TODAY())</x:f>
      </x:c>
      <x:c r="J119" s="8"/>
    </x:row>
    <x:row r="120">
      <x:c r="A120" s="8"/>
      <x:c r="B120" s="8"/>
      <x:c r="C120" s="8"/>
      <x:c r="D120" s="8"/>
      <x:c r="E120" s="8"/>
      <x:c r="F120" s="8"/>
      <x:c r="G120" s="12"/>
      <x:c r="H120" s="8"/>
      <x:c r="I120" s="13" t="str">
        <x:f>IF(G120="","",G120-TODAY())</x:f>
      </x:c>
      <x:c r="J120" s="8"/>
    </x:row>
    <x:row r="121">
      <x:c r="A121" s="8"/>
      <x:c r="B121" s="8"/>
      <x:c r="C121" s="8"/>
      <x:c r="D121" s="8"/>
      <x:c r="E121" s="8"/>
      <x:c r="F121" s="8"/>
      <x:c r="G121" s="12"/>
      <x:c r="H121" s="8"/>
      <x:c r="I121" s="13" t="str">
        <x:f>IF(G121="","",G121-TODAY())</x:f>
      </x:c>
      <x:c r="J121" s="8"/>
    </x:row>
    <x:row r="122">
      <x:c r="A122" s="8"/>
      <x:c r="B122" s="8"/>
      <x:c r="C122" s="8"/>
      <x:c r="D122" s="8"/>
      <x:c r="E122" s="8"/>
      <x:c r="F122" s="8"/>
      <x:c r="G122" s="12"/>
      <x:c r="H122" s="8"/>
      <x:c r="I122" s="13" t="str">
        <x:f>IF(G122="","",G122-TODAY())</x:f>
      </x:c>
      <x:c r="J122" s="8"/>
    </x:row>
    <x:row r="123">
      <x:c r="A123" s="8"/>
      <x:c r="B123" s="8"/>
      <x:c r="C123" s="8"/>
      <x:c r="D123" s="8"/>
      <x:c r="E123" s="8"/>
      <x:c r="F123" s="8"/>
      <x:c r="G123" s="12"/>
      <x:c r="H123" s="8"/>
      <x:c r="I123" s="13" t="str">
        <x:f>IF(G123="","",G123-TODAY())</x:f>
      </x:c>
      <x:c r="J123" s="8"/>
    </x:row>
    <x:row r="124">
      <x:c r="A124" s="8"/>
      <x:c r="B124" s="8"/>
      <x:c r="C124" s="8"/>
      <x:c r="D124" s="8"/>
      <x:c r="E124" s="8"/>
      <x:c r="F124" s="8"/>
      <x:c r="G124" s="12"/>
      <x:c r="H124" s="8"/>
      <x:c r="I124" s="13" t="str">
        <x:f>IF(G124="","",G124-TODAY())</x:f>
      </x:c>
      <x:c r="J124" s="8"/>
    </x:row>
    <x:row r="125">
      <x:c r="A125" s="8"/>
      <x:c r="B125" s="8"/>
      <x:c r="C125" s="8"/>
      <x:c r="D125" s="8"/>
      <x:c r="E125" s="8"/>
      <x:c r="F125" s="8"/>
      <x:c r="G125" s="12"/>
      <x:c r="H125" s="8"/>
      <x:c r="I125" s="13" t="str">
        <x:f>IF(G125="","",G125-TODAY())</x:f>
      </x:c>
      <x:c r="J125" s="8"/>
    </x:row>
    <x:row r="126">
      <x:c r="A126" s="8"/>
      <x:c r="B126" s="8"/>
      <x:c r="C126" s="8"/>
      <x:c r="D126" s="8"/>
      <x:c r="E126" s="8"/>
      <x:c r="F126" s="8"/>
      <x:c r="G126" s="12"/>
      <x:c r="H126" s="8"/>
      <x:c r="I126" s="13" t="str">
        <x:f>IF(G126="","",G126-TODAY())</x:f>
      </x:c>
      <x:c r="J126" s="8"/>
    </x:row>
    <x:row r="127">
      <x:c r="A127" s="8"/>
      <x:c r="B127" s="8"/>
      <x:c r="C127" s="8"/>
      <x:c r="D127" s="8"/>
      <x:c r="E127" s="8"/>
      <x:c r="F127" s="8"/>
      <x:c r="G127" s="12"/>
      <x:c r="H127" s="8"/>
      <x:c r="I127" s="13" t="str">
        <x:f>IF(G127="","",G127-TODAY())</x:f>
      </x:c>
      <x:c r="J127" s="8"/>
    </x:row>
    <x:row r="128">
      <x:c r="A128" s="8"/>
      <x:c r="B128" s="8"/>
      <x:c r="C128" s="8"/>
      <x:c r="D128" s="8"/>
      <x:c r="E128" s="8"/>
      <x:c r="F128" s="8"/>
      <x:c r="G128" s="12"/>
      <x:c r="H128" s="8"/>
      <x:c r="I128" s="13" t="str">
        <x:f>IF(G128="","",G128-TODAY())</x:f>
      </x:c>
      <x:c r="J128" s="8"/>
    </x:row>
    <x:row r="129">
      <x:c r="A129" s="8"/>
      <x:c r="B129" s="8"/>
      <x:c r="C129" s="8"/>
      <x:c r="D129" s="8"/>
      <x:c r="E129" s="8"/>
      <x:c r="F129" s="8"/>
      <x:c r="G129" s="12"/>
      <x:c r="H129" s="8"/>
      <x:c r="I129" s="13" t="str">
        <x:f>IF(G129="","",G129-TODAY())</x:f>
      </x:c>
      <x:c r="J129" s="8"/>
    </x:row>
    <x:row r="130">
      <x:c r="A130" s="8"/>
      <x:c r="B130" s="8"/>
      <x:c r="C130" s="8"/>
      <x:c r="D130" s="8"/>
      <x:c r="E130" s="8"/>
      <x:c r="F130" s="8"/>
      <x:c r="G130" s="12"/>
      <x:c r="H130" s="8"/>
      <x:c r="I130" s="13" t="str">
        <x:f>IF(G130="","",G130-TODAY())</x:f>
      </x:c>
      <x:c r="J130" s="8"/>
    </x:row>
    <x:row r="131">
      <x:c r="A131" s="8"/>
      <x:c r="B131" s="8"/>
      <x:c r="C131" s="8"/>
      <x:c r="D131" s="8"/>
      <x:c r="E131" s="8"/>
      <x:c r="F131" s="8"/>
      <x:c r="G131" s="12"/>
      <x:c r="H131" s="8"/>
      <x:c r="I131" s="13" t="str">
        <x:f>IF(G131="","",G131-TODAY())</x:f>
      </x:c>
      <x:c r="J131" s="8"/>
    </x:row>
    <x:row r="132">
      <x:c r="A132" s="8"/>
      <x:c r="B132" s="8"/>
      <x:c r="C132" s="8"/>
      <x:c r="D132" s="8"/>
      <x:c r="E132" s="8"/>
      <x:c r="F132" s="8"/>
      <x:c r="G132" s="12"/>
      <x:c r="H132" s="8"/>
      <x:c r="I132" s="13" t="str">
        <x:f>IF(G132="","",G132-TODAY())</x:f>
      </x:c>
      <x:c r="J132" s="8"/>
    </x:row>
    <x:row r="133">
      <x:c r="A133" s="8"/>
      <x:c r="B133" s="8"/>
      <x:c r="C133" s="8"/>
      <x:c r="D133" s="8"/>
      <x:c r="E133" s="8"/>
      <x:c r="F133" s="8"/>
      <x:c r="G133" s="12"/>
      <x:c r="H133" s="8"/>
      <x:c r="I133" s="13" t="str">
        <x:f>IF(G133="","",G133-TODAY())</x:f>
      </x:c>
      <x:c r="J133" s="8"/>
    </x:row>
    <x:row r="134">
      <x:c r="A134" s="8"/>
      <x:c r="B134" s="8"/>
      <x:c r="C134" s="8"/>
      <x:c r="D134" s="8"/>
      <x:c r="E134" s="8"/>
      <x:c r="F134" s="8"/>
      <x:c r="G134" s="12"/>
      <x:c r="H134" s="8"/>
      <x:c r="I134" s="13" t="str">
        <x:f>IF(G134="","",G134-TODAY())</x:f>
      </x:c>
      <x:c r="J134" s="8"/>
    </x:row>
    <x:row r="135">
      <x:c r="A135" s="8"/>
      <x:c r="B135" s="8"/>
      <x:c r="C135" s="8"/>
      <x:c r="D135" s="8"/>
      <x:c r="E135" s="8"/>
      <x:c r="F135" s="8"/>
      <x:c r="G135" s="12"/>
      <x:c r="H135" s="8"/>
      <x:c r="I135" s="13" t="str">
        <x:f>IF(G135="","",G135-TODAY())</x:f>
      </x:c>
      <x:c r="J135" s="8"/>
    </x:row>
    <x:row r="136">
      <x:c r="A136" s="8"/>
      <x:c r="B136" s="8"/>
      <x:c r="C136" s="8"/>
      <x:c r="D136" s="8"/>
      <x:c r="E136" s="8"/>
      <x:c r="F136" s="8"/>
      <x:c r="G136" s="12"/>
      <x:c r="H136" s="8"/>
      <x:c r="I136" s="13" t="str">
        <x:f>IF(G136="","",G136-TODAY())</x:f>
      </x:c>
      <x:c r="J136" s="8"/>
    </x:row>
    <x:row r="137">
      <x:c r="A137" s="8"/>
      <x:c r="B137" s="8"/>
      <x:c r="C137" s="8"/>
      <x:c r="D137" s="8"/>
      <x:c r="E137" s="8"/>
      <x:c r="F137" s="8"/>
      <x:c r="G137" s="12"/>
      <x:c r="H137" s="8"/>
      <x:c r="I137" s="13" t="str">
        <x:f>IF(G137="","",G137-TODAY())</x:f>
      </x:c>
      <x:c r="J137" s="8"/>
    </x:row>
    <x:row r="138">
      <x:c r="A138" s="8"/>
      <x:c r="B138" s="8"/>
      <x:c r="C138" s="8"/>
      <x:c r="D138" s="8"/>
      <x:c r="E138" s="8"/>
      <x:c r="F138" s="8"/>
      <x:c r="G138" s="12"/>
      <x:c r="H138" s="8"/>
      <x:c r="I138" s="13" t="str">
        <x:f>IF(G138="","",G138-TODAY())</x:f>
      </x:c>
      <x:c r="J138" s="8"/>
    </x:row>
    <x:row r="139">
      <x:c r="A139" s="8"/>
      <x:c r="B139" s="8"/>
      <x:c r="C139" s="8"/>
      <x:c r="D139" s="8"/>
      <x:c r="E139" s="8"/>
      <x:c r="F139" s="8"/>
      <x:c r="G139" s="12"/>
      <x:c r="H139" s="8"/>
      <x:c r="I139" s="13" t="str">
        <x:f>IF(G139="","",G139-TODAY())</x:f>
      </x:c>
      <x:c r="J139" s="8"/>
    </x:row>
    <x:row r="140">
      <x:c r="A140" s="8"/>
      <x:c r="B140" s="8"/>
      <x:c r="C140" s="8"/>
      <x:c r="D140" s="8"/>
      <x:c r="E140" s="8"/>
      <x:c r="F140" s="8"/>
      <x:c r="G140" s="12"/>
      <x:c r="H140" s="8"/>
      <x:c r="I140" s="13" t="str">
        <x:f>IF(G140="","",G140-TODAY())</x:f>
      </x:c>
      <x:c r="J140" s="8"/>
    </x:row>
    <x:row r="141">
      <x:c r="A141" s="8"/>
      <x:c r="B141" s="8"/>
      <x:c r="C141" s="8"/>
      <x:c r="D141" s="8"/>
      <x:c r="E141" s="8"/>
      <x:c r="F141" s="8"/>
      <x:c r="G141" s="12"/>
      <x:c r="H141" s="8"/>
      <x:c r="I141" s="13" t="str">
        <x:f>IF(G141="","",G141-TODAY())</x:f>
      </x:c>
      <x:c r="J141" s="8"/>
    </x:row>
    <x:row r="142">
      <x:c r="A142" s="8"/>
      <x:c r="B142" s="8"/>
      <x:c r="C142" s="8"/>
      <x:c r="D142" s="8"/>
      <x:c r="E142" s="8"/>
      <x:c r="F142" s="8"/>
      <x:c r="G142" s="12"/>
      <x:c r="H142" s="8"/>
      <x:c r="I142" s="13" t="str">
        <x:f>IF(G142="","",G142-TODAY())</x:f>
      </x:c>
      <x:c r="J142" s="8"/>
    </x:row>
    <x:row r="143">
      <x:c r="A143" s="8"/>
      <x:c r="B143" s="8"/>
      <x:c r="C143" s="8"/>
      <x:c r="D143" s="8"/>
      <x:c r="E143" s="8"/>
      <x:c r="F143" s="8"/>
      <x:c r="G143" s="12"/>
      <x:c r="H143" s="8"/>
      <x:c r="I143" s="13" t="str">
        <x:f>IF(G143="","",G143-TODAY())</x:f>
      </x:c>
      <x:c r="J143" s="8"/>
    </x:row>
    <x:row r="144">
      <x:c r="A144" s="8"/>
      <x:c r="B144" s="8"/>
      <x:c r="C144" s="8"/>
      <x:c r="D144" s="8"/>
      <x:c r="E144" s="8"/>
      <x:c r="F144" s="8"/>
      <x:c r="G144" s="12"/>
      <x:c r="H144" s="8"/>
      <x:c r="I144" s="13" t="str">
        <x:f>IF(G144="","",G144-TODAY())</x:f>
      </x:c>
      <x:c r="J144" s="8"/>
    </x:row>
    <x:row r="145">
      <x:c r="A145" s="8"/>
      <x:c r="B145" s="8"/>
      <x:c r="C145" s="8"/>
      <x:c r="D145" s="8"/>
      <x:c r="E145" s="8"/>
      <x:c r="F145" s="8"/>
      <x:c r="G145" s="12"/>
      <x:c r="H145" s="8"/>
      <x:c r="I145" s="13" t="str">
        <x:f>IF(G145="","",G145-TODAY())</x:f>
      </x:c>
      <x:c r="J145" s="8"/>
    </x:row>
    <x:row r="146">
      <x:c r="A146" s="8"/>
      <x:c r="B146" s="8"/>
      <x:c r="C146" s="8"/>
      <x:c r="D146" s="8"/>
      <x:c r="E146" s="8"/>
      <x:c r="F146" s="8"/>
      <x:c r="G146" s="12"/>
      <x:c r="H146" s="8"/>
      <x:c r="I146" s="13" t="str">
        <x:f>IF(G146="","",G146-TODAY())</x:f>
      </x:c>
      <x:c r="J146" s="8"/>
    </x:row>
    <x:row r="147">
      <x:c r="A147" s="8"/>
      <x:c r="B147" s="8"/>
      <x:c r="C147" s="8"/>
      <x:c r="D147" s="8"/>
      <x:c r="E147" s="8"/>
      <x:c r="F147" s="8"/>
      <x:c r="G147" s="12"/>
      <x:c r="H147" s="8"/>
      <x:c r="I147" s="13" t="str">
        <x:f>IF(G147="","",G147-TODAY())</x:f>
      </x:c>
      <x:c r="J147" s="8"/>
    </x:row>
    <x:row r="148">
      <x:c r="A148" s="8"/>
      <x:c r="B148" s="8"/>
      <x:c r="C148" s="8"/>
      <x:c r="D148" s="8"/>
      <x:c r="E148" s="8"/>
      <x:c r="F148" s="8"/>
      <x:c r="G148" s="12"/>
      <x:c r="H148" s="8"/>
      <x:c r="I148" s="13" t="str">
        <x:f>IF(G148="","",G148-TODAY())</x:f>
      </x:c>
      <x:c r="J148" s="8"/>
    </x:row>
    <x:row r="149">
      <x:c r="A149" s="8"/>
      <x:c r="B149" s="8"/>
      <x:c r="C149" s="8"/>
      <x:c r="D149" s="8"/>
      <x:c r="E149" s="8"/>
      <x:c r="F149" s="8"/>
      <x:c r="G149" s="12"/>
      <x:c r="H149" s="8"/>
      <x:c r="I149" s="13" t="str">
        <x:f>IF(G149="","",G149-TODAY())</x:f>
      </x:c>
      <x:c r="J149" s="8"/>
    </x:row>
    <x:row r="150">
      <x:c r="A150" s="8"/>
      <x:c r="B150" s="8"/>
      <x:c r="C150" s="8"/>
      <x:c r="D150" s="8"/>
      <x:c r="E150" s="8"/>
      <x:c r="F150" s="8"/>
      <x:c r="G150" s="12"/>
      <x:c r="H150" s="8"/>
      <x:c r="I150" s="13" t="str">
        <x:f>IF(G150="","",G150-TODAY())</x:f>
      </x:c>
      <x:c r="J150" s="8"/>
    </x:row>
    <x:row r="151">
      <x:c r="A151" s="8"/>
      <x:c r="B151" s="8"/>
      <x:c r="C151" s="8"/>
      <x:c r="D151" s="8"/>
      <x:c r="E151" s="8"/>
      <x:c r="F151" s="8"/>
      <x:c r="G151" s="12"/>
      <x:c r="H151" s="8"/>
      <x:c r="I151" s="13" t="str">
        <x:f>IF(G151="","",G151-TODAY())</x:f>
      </x:c>
      <x:c r="J151" s="8"/>
    </x:row>
    <x:row r="152">
      <x:c r="A152" s="8"/>
      <x:c r="B152" s="8"/>
      <x:c r="C152" s="8"/>
      <x:c r="D152" s="8"/>
      <x:c r="E152" s="8"/>
      <x:c r="F152" s="8"/>
      <x:c r="G152" s="12"/>
      <x:c r="H152" s="8"/>
      <x:c r="I152" s="13" t="str">
        <x:f>IF(G152="","",G152-TODAY())</x:f>
      </x:c>
      <x:c r="J152" s="8"/>
    </x:row>
    <x:row r="153">
      <x:c r="A153" s="8"/>
      <x:c r="B153" s="8"/>
      <x:c r="C153" s="8"/>
      <x:c r="D153" s="8"/>
      <x:c r="E153" s="8"/>
      <x:c r="F153" s="8"/>
      <x:c r="G153" s="12"/>
      <x:c r="H153" s="8"/>
      <x:c r="I153" s="13" t="str">
        <x:f>IF(G153="","",G153-TODAY())</x:f>
      </x:c>
      <x:c r="J153" s="8"/>
    </x:row>
    <x:row r="154">
      <x:c r="A154" s="8"/>
      <x:c r="B154" s="8"/>
      <x:c r="C154" s="8"/>
      <x:c r="D154" s="8"/>
      <x:c r="E154" s="8"/>
      <x:c r="F154" s="8"/>
      <x:c r="G154" s="12"/>
      <x:c r="H154" s="8"/>
      <x:c r="I154" s="13" t="str">
        <x:f>IF(G154="","",G154-TODAY())</x:f>
      </x:c>
      <x:c r="J154" s="8"/>
    </x:row>
    <x:row r="155">
      <x:c r="A155" s="8"/>
      <x:c r="B155" s="8"/>
      <x:c r="C155" s="8"/>
      <x:c r="D155" s="8"/>
      <x:c r="E155" s="8"/>
      <x:c r="F155" s="8"/>
      <x:c r="G155" s="12"/>
      <x:c r="H155" s="8"/>
      <x:c r="I155" s="13" t="str">
        <x:f>IF(G155="","",G155-TODAY())</x:f>
      </x:c>
      <x:c r="J155" s="8"/>
    </x:row>
    <x:row r="156">
      <x:c r="A156" s="8"/>
      <x:c r="B156" s="8"/>
      <x:c r="C156" s="8"/>
      <x:c r="D156" s="8"/>
      <x:c r="E156" s="8"/>
      <x:c r="F156" s="8"/>
      <x:c r="G156" s="12"/>
      <x:c r="H156" s="8"/>
      <x:c r="I156" s="13" t="str">
        <x:f>IF(G156="","",G156-TODAY())</x:f>
      </x:c>
      <x:c r="J156" s="8"/>
    </x:row>
    <x:row r="157">
      <x:c r="A157" s="8"/>
      <x:c r="B157" s="8"/>
      <x:c r="C157" s="8"/>
      <x:c r="D157" s="8"/>
      <x:c r="E157" s="8"/>
      <x:c r="F157" s="8"/>
      <x:c r="G157" s="12"/>
      <x:c r="H157" s="8"/>
      <x:c r="I157" s="13" t="str">
        <x:f>IF(G157="","",G157-TODAY())</x:f>
      </x:c>
      <x:c r="J157" s="8"/>
    </x:row>
    <x:row r="158">
      <x:c r="A158" s="8"/>
      <x:c r="B158" s="8"/>
      <x:c r="C158" s="8"/>
      <x:c r="D158" s="8"/>
      <x:c r="E158" s="8"/>
      <x:c r="F158" s="8"/>
      <x:c r="G158" s="12"/>
      <x:c r="H158" s="8"/>
      <x:c r="I158" s="13" t="str">
        <x:f>IF(G158="","",G158-TODAY())</x:f>
      </x:c>
      <x:c r="J158" s="8"/>
    </x:row>
    <x:row r="159">
      <x:c r="A159" s="8"/>
      <x:c r="B159" s="8"/>
      <x:c r="C159" s="8"/>
      <x:c r="D159" s="8"/>
      <x:c r="E159" s="8"/>
      <x:c r="F159" s="8"/>
      <x:c r="G159" s="12"/>
      <x:c r="H159" s="8"/>
      <x:c r="I159" s="13" t="str">
        <x:f>IF(G159="","",G159-TODAY())</x:f>
      </x:c>
      <x:c r="J159" s="8"/>
    </x:row>
    <x:row r="160">
      <x:c r="A160" s="8"/>
      <x:c r="B160" s="8"/>
      <x:c r="C160" s="8"/>
      <x:c r="D160" s="8"/>
      <x:c r="E160" s="8"/>
      <x:c r="F160" s="8"/>
      <x:c r="G160" s="12"/>
      <x:c r="H160" s="8"/>
      <x:c r="I160" s="13" t="str">
        <x:f>IF(G160="","",G160-TODAY())</x:f>
      </x:c>
      <x:c r="J160" s="8"/>
    </x:row>
    <x:row r="161">
      <x:c r="A161" s="8"/>
      <x:c r="B161" s="8"/>
      <x:c r="C161" s="8"/>
      <x:c r="D161" s="8"/>
      <x:c r="E161" s="8"/>
      <x:c r="F161" s="8"/>
      <x:c r="G161" s="12"/>
      <x:c r="H161" s="8"/>
      <x:c r="I161" s="13" t="str">
        <x:f>IF(G161="","",G161-TODAY())</x:f>
      </x:c>
      <x:c r="J161" s="8"/>
    </x:row>
    <x:row r="162">
      <x:c r="A162" s="8"/>
      <x:c r="B162" s="8"/>
      <x:c r="C162" s="8"/>
      <x:c r="D162" s="8"/>
      <x:c r="E162" s="8"/>
      <x:c r="F162" s="8"/>
      <x:c r="G162" s="12"/>
      <x:c r="H162" s="8"/>
      <x:c r="I162" s="13" t="str">
        <x:f>IF(G162="","",G162-TODAY())</x:f>
      </x:c>
      <x:c r="J162" s="8"/>
    </x:row>
    <x:row r="163">
      <x:c r="A163" s="8"/>
      <x:c r="B163" s="8"/>
      <x:c r="C163" s="8"/>
      <x:c r="D163" s="8"/>
      <x:c r="E163" s="8"/>
      <x:c r="F163" s="8"/>
      <x:c r="G163" s="12"/>
      <x:c r="H163" s="8"/>
      <x:c r="I163" s="13" t="str">
        <x:f>IF(G163="","",G163-TODAY())</x:f>
      </x:c>
      <x:c r="J163" s="8"/>
    </x:row>
    <x:row r="164">
      <x:c r="A164" s="8"/>
      <x:c r="B164" s="8"/>
      <x:c r="C164" s="8"/>
      <x:c r="D164" s="8"/>
      <x:c r="E164" s="8"/>
      <x:c r="F164" s="8"/>
      <x:c r="G164" s="12"/>
      <x:c r="H164" s="8"/>
      <x:c r="I164" s="13" t="str">
        <x:f>IF(G164="","",G164-TODAY())</x:f>
      </x:c>
      <x:c r="J164" s="8"/>
    </x:row>
    <x:row r="165">
      <x:c r="A165" s="8"/>
      <x:c r="B165" s="8"/>
      <x:c r="C165" s="8"/>
      <x:c r="D165" s="8"/>
      <x:c r="E165" s="8"/>
      <x:c r="F165" s="8"/>
      <x:c r="G165" s="12"/>
      <x:c r="H165" s="8"/>
      <x:c r="I165" s="13" t="str">
        <x:f>IF(G165="","",G165-TODAY())</x:f>
      </x:c>
      <x:c r="J165" s="8"/>
    </x:row>
    <x:row r="166">
      <x:c r="A166" s="8"/>
      <x:c r="B166" s="8"/>
      <x:c r="C166" s="8"/>
      <x:c r="D166" s="8"/>
      <x:c r="E166" s="8"/>
      <x:c r="F166" s="8"/>
      <x:c r="G166" s="12"/>
      <x:c r="H166" s="8"/>
      <x:c r="I166" s="13" t="str">
        <x:f>IF(G166="","",G166-TODAY())</x:f>
      </x:c>
      <x:c r="J166" s="8"/>
    </x:row>
    <x:row r="167">
      <x:c r="A167" s="8"/>
      <x:c r="B167" s="8"/>
      <x:c r="C167" s="8"/>
      <x:c r="D167" s="8"/>
      <x:c r="E167" s="8"/>
      <x:c r="F167" s="8"/>
      <x:c r="G167" s="12"/>
      <x:c r="H167" s="8"/>
      <x:c r="I167" s="13" t="str">
        <x:f>IF(G167="","",G167-TODAY())</x:f>
      </x:c>
      <x:c r="J167" s="8"/>
    </x:row>
    <x:row r="168">
      <x:c r="A168" s="8"/>
      <x:c r="B168" s="8"/>
      <x:c r="C168" s="8"/>
      <x:c r="D168" s="8"/>
      <x:c r="E168" s="8"/>
      <x:c r="F168" s="8"/>
      <x:c r="G168" s="12"/>
      <x:c r="H168" s="8"/>
      <x:c r="I168" s="13" t="str">
        <x:f>IF(G168="","",G168-TODAY())</x:f>
      </x:c>
      <x:c r="J168" s="8"/>
    </x:row>
    <x:row r="169">
      <x:c r="A169" s="8"/>
      <x:c r="B169" s="8"/>
      <x:c r="C169" s="8"/>
      <x:c r="D169" s="8"/>
      <x:c r="E169" s="8"/>
      <x:c r="F169" s="8"/>
      <x:c r="G169" s="12"/>
      <x:c r="H169" s="8"/>
      <x:c r="I169" s="13" t="str">
        <x:f>IF(G169="","",G169-TODAY())</x:f>
      </x:c>
      <x:c r="J169" s="8"/>
    </x:row>
    <x:row r="170">
      <x:c r="A170" s="8"/>
      <x:c r="B170" s="8"/>
      <x:c r="C170" s="8"/>
      <x:c r="D170" s="8"/>
      <x:c r="E170" s="8"/>
      <x:c r="F170" s="8"/>
      <x:c r="G170" s="12"/>
      <x:c r="H170" s="8"/>
      <x:c r="I170" s="13" t="str">
        <x:f>IF(G170="","",G170-TODAY())</x:f>
      </x:c>
      <x:c r="J170" s="8"/>
    </x:row>
    <x:row r="171">
      <x:c r="A171" s="8"/>
      <x:c r="B171" s="8"/>
      <x:c r="C171" s="8"/>
      <x:c r="D171" s="8"/>
      <x:c r="E171" s="8"/>
      <x:c r="F171" s="8"/>
      <x:c r="G171" s="12"/>
      <x:c r="H171" s="8"/>
      <x:c r="I171" s="13" t="str">
        <x:f>IF(G171="","",G171-TODAY())</x:f>
      </x:c>
      <x:c r="J171" s="8"/>
    </x:row>
    <x:row r="172">
      <x:c r="A172" s="8"/>
      <x:c r="B172" s="8"/>
      <x:c r="C172" s="8"/>
      <x:c r="D172" s="8"/>
      <x:c r="E172" s="8"/>
      <x:c r="F172" s="8"/>
      <x:c r="G172" s="12"/>
      <x:c r="H172" s="8"/>
      <x:c r="I172" s="13" t="str">
        <x:f>IF(G172="","",G172-TODAY())</x:f>
      </x:c>
      <x:c r="J172" s="8"/>
    </x:row>
    <x:row r="173">
      <x:c r="A173" s="8"/>
      <x:c r="B173" s="8"/>
      <x:c r="C173" s="8"/>
      <x:c r="D173" s="8"/>
      <x:c r="E173" s="8"/>
      <x:c r="F173" s="8"/>
      <x:c r="G173" s="12"/>
      <x:c r="H173" s="8"/>
      <x:c r="I173" s="13" t="str">
        <x:f>IF(G173="","",G173-TODAY())</x:f>
      </x:c>
      <x:c r="J173" s="8"/>
    </x:row>
    <x:row r="174">
      <x:c r="A174" s="8"/>
      <x:c r="B174" s="8"/>
      <x:c r="C174" s="8"/>
      <x:c r="D174" s="8"/>
      <x:c r="E174" s="8"/>
      <x:c r="F174" s="8"/>
      <x:c r="G174" s="12"/>
      <x:c r="H174" s="8"/>
      <x:c r="I174" s="13" t="str">
        <x:f>IF(G174="","",G174-TODAY())</x:f>
      </x:c>
      <x:c r="J174" s="8"/>
    </x:row>
    <x:row r="175">
      <x:c r="A175" s="8"/>
      <x:c r="B175" s="8"/>
      <x:c r="C175" s="8"/>
      <x:c r="D175" s="8"/>
      <x:c r="E175" s="8"/>
      <x:c r="F175" s="8"/>
      <x:c r="G175" s="12"/>
      <x:c r="H175" s="8"/>
      <x:c r="I175" s="13" t="str">
        <x:f>IF(G175="","",G175-TODAY())</x:f>
      </x:c>
      <x:c r="J175" s="8"/>
    </x:row>
    <x:row r="176">
      <x:c r="A176" s="8"/>
      <x:c r="B176" s="8"/>
      <x:c r="C176" s="8"/>
      <x:c r="D176" s="8"/>
      <x:c r="E176" s="8"/>
      <x:c r="F176" s="8"/>
      <x:c r="G176" s="12"/>
      <x:c r="H176" s="8"/>
      <x:c r="I176" s="13" t="str">
        <x:f>IF(G176="","",G176-TODAY())</x:f>
      </x:c>
      <x:c r="J176" s="8"/>
    </x:row>
    <x:row r="177">
      <x:c r="A177" s="8"/>
      <x:c r="B177" s="8"/>
      <x:c r="C177" s="8"/>
      <x:c r="D177" s="8"/>
      <x:c r="E177" s="8"/>
      <x:c r="F177" s="8"/>
      <x:c r="G177" s="12"/>
      <x:c r="H177" s="8"/>
      <x:c r="I177" s="13" t="str">
        <x:f>IF(G177="","",G177-TODAY())</x:f>
      </x:c>
      <x:c r="J177" s="8"/>
    </x:row>
    <x:row r="178">
      <x:c r="A178" s="8"/>
      <x:c r="B178" s="8"/>
      <x:c r="C178" s="8"/>
      <x:c r="D178" s="8"/>
      <x:c r="E178" s="8"/>
      <x:c r="F178" s="8"/>
      <x:c r="G178" s="12"/>
      <x:c r="H178" s="8"/>
      <x:c r="I178" s="13" t="str">
        <x:f>IF(G178="","",G178-TODAY())</x:f>
      </x:c>
      <x:c r="J178" s="8"/>
    </x:row>
    <x:row r="179">
      <x:c r="A179" s="8"/>
      <x:c r="B179" s="8"/>
      <x:c r="C179" s="8"/>
      <x:c r="D179" s="8"/>
      <x:c r="E179" s="8"/>
      <x:c r="F179" s="8"/>
      <x:c r="G179" s="12"/>
      <x:c r="H179" s="8"/>
      <x:c r="I179" s="13" t="str">
        <x:f>IF(G179="","",G179-TODAY())</x:f>
      </x:c>
      <x:c r="J179" s="8"/>
    </x:row>
    <x:row r="180">
      <x:c r="A180" s="8"/>
      <x:c r="B180" s="8"/>
      <x:c r="C180" s="8"/>
      <x:c r="D180" s="8"/>
      <x:c r="E180" s="8"/>
      <x:c r="F180" s="8"/>
      <x:c r="G180" s="12"/>
      <x:c r="H180" s="8"/>
      <x:c r="I180" s="13" t="str">
        <x:f>IF(G180="","",G180-TODAY())</x:f>
      </x:c>
      <x:c r="J180" s="8"/>
    </x:row>
    <x:row r="181">
      <x:c r="A181" s="8"/>
      <x:c r="B181" s="8"/>
      <x:c r="C181" s="8"/>
      <x:c r="D181" s="8"/>
      <x:c r="E181" s="8"/>
      <x:c r="F181" s="8"/>
      <x:c r="G181" s="12"/>
      <x:c r="H181" s="8"/>
      <x:c r="I181" s="13" t="str">
        <x:f>IF(G181="","",G181-TODAY())</x:f>
      </x:c>
      <x:c r="J181" s="8"/>
    </x:row>
    <x:row r="182">
      <x:c r="A182" s="8"/>
      <x:c r="B182" s="8"/>
      <x:c r="C182" s="8"/>
      <x:c r="D182" s="8"/>
      <x:c r="E182" s="8"/>
      <x:c r="F182" s="8"/>
      <x:c r="G182" s="12"/>
      <x:c r="H182" s="8"/>
      <x:c r="I182" s="13" t="str">
        <x:f>IF(G182="","",G182-TODAY())</x:f>
      </x:c>
      <x:c r="J182" s="8"/>
    </x:row>
    <x:row r="183">
      <x:c r="A183" s="8"/>
      <x:c r="B183" s="8"/>
      <x:c r="C183" s="8"/>
      <x:c r="D183" s="8"/>
      <x:c r="E183" s="8"/>
      <x:c r="F183" s="8"/>
      <x:c r="G183" s="12"/>
      <x:c r="H183" s="8"/>
      <x:c r="I183" s="13" t="str">
        <x:f>IF(G183="","",G183-TODAY())</x:f>
      </x:c>
      <x:c r="J183" s="8"/>
    </x:row>
    <x:row r="184">
      <x:c r="A184" s="8"/>
      <x:c r="B184" s="8"/>
      <x:c r="C184" s="8"/>
      <x:c r="D184" s="8"/>
      <x:c r="E184" s="8"/>
      <x:c r="F184" s="8"/>
      <x:c r="G184" s="12"/>
      <x:c r="H184" s="8"/>
      <x:c r="I184" s="13" t="str">
        <x:f>IF(G184="","",G184-TODAY())</x:f>
      </x:c>
      <x:c r="J184" s="8"/>
    </x:row>
    <x:row r="185">
      <x:c r="A185" s="8"/>
      <x:c r="B185" s="8"/>
      <x:c r="C185" s="8"/>
      <x:c r="D185" s="8"/>
      <x:c r="E185" s="8"/>
      <x:c r="F185" s="8"/>
      <x:c r="G185" s="12"/>
      <x:c r="H185" s="8"/>
      <x:c r="I185" s="13" t="str">
        <x:f>IF(G185="","",G185-TODAY())</x:f>
      </x:c>
      <x:c r="J185" s="8"/>
    </x:row>
    <x:row r="186">
      <x:c r="A186" s="8"/>
      <x:c r="B186" s="8"/>
      <x:c r="C186" s="8"/>
      <x:c r="D186" s="8"/>
      <x:c r="E186" s="8"/>
      <x:c r="F186" s="8"/>
      <x:c r="G186" s="12"/>
      <x:c r="H186" s="8"/>
      <x:c r="I186" s="13" t="str">
        <x:f>IF(G186="","",G186-TODAY())</x:f>
      </x:c>
      <x:c r="J186" s="8"/>
    </x:row>
    <x:row r="187">
      <x:c r="A187" s="8"/>
      <x:c r="B187" s="8"/>
      <x:c r="C187" s="8"/>
      <x:c r="D187" s="8"/>
      <x:c r="E187" s="8"/>
      <x:c r="F187" s="8"/>
      <x:c r="G187" s="12"/>
      <x:c r="H187" s="8"/>
      <x:c r="I187" s="13" t="str">
        <x:f>IF(G187="","",G187-TODAY())</x:f>
      </x:c>
      <x:c r="J187" s="8"/>
    </x:row>
    <x:row r="188">
      <x:c r="A188" s="8"/>
      <x:c r="B188" s="8"/>
      <x:c r="C188" s="8"/>
      <x:c r="D188" s="8"/>
      <x:c r="E188" s="8"/>
      <x:c r="F188" s="8"/>
      <x:c r="G188" s="12"/>
      <x:c r="H188" s="8"/>
      <x:c r="I188" s="13" t="str">
        <x:f>IF(G188="","",G188-TODAY())</x:f>
      </x:c>
      <x:c r="J188" s="8"/>
    </x:row>
    <x:row r="189">
      <x:c r="A189" s="8"/>
      <x:c r="B189" s="8"/>
      <x:c r="C189" s="8"/>
      <x:c r="D189" s="8"/>
      <x:c r="E189" s="8"/>
      <x:c r="F189" s="8"/>
      <x:c r="G189" s="12"/>
      <x:c r="H189" s="8"/>
      <x:c r="I189" s="13" t="str">
        <x:f>IF(G189="","",G189-TODAY())</x:f>
      </x:c>
      <x:c r="J189" s="8"/>
    </x:row>
    <x:row r="190">
      <x:c r="A190" s="8"/>
      <x:c r="B190" s="8"/>
      <x:c r="C190" s="8"/>
      <x:c r="D190" s="8"/>
      <x:c r="E190" s="8"/>
      <x:c r="F190" s="8"/>
      <x:c r="G190" s="12"/>
      <x:c r="H190" s="8"/>
      <x:c r="I190" s="13" t="str">
        <x:f>IF(G190="","",G190-TODAY())</x:f>
      </x:c>
      <x:c r="J190" s="8"/>
    </x:row>
    <x:row r="191">
      <x:c r="A191" s="8"/>
      <x:c r="B191" s="8"/>
      <x:c r="C191" s="8"/>
      <x:c r="D191" s="8"/>
      <x:c r="E191" s="8"/>
      <x:c r="F191" s="8"/>
      <x:c r="G191" s="12"/>
      <x:c r="H191" s="8"/>
      <x:c r="I191" s="13" t="str">
        <x:f>IF(G191="","",G191-TODAY())</x:f>
      </x:c>
      <x:c r="J191" s="8"/>
    </x:row>
    <x:row r="192">
      <x:c r="A192" s="8"/>
      <x:c r="B192" s="8"/>
      <x:c r="C192" s="8"/>
      <x:c r="D192" s="8"/>
      <x:c r="E192" s="8"/>
      <x:c r="F192" s="8"/>
      <x:c r="G192" s="12"/>
      <x:c r="H192" s="8"/>
      <x:c r="I192" s="13" t="str">
        <x:f>IF(G192="","",G192-TODAY())</x:f>
      </x:c>
      <x:c r="J192" s="8"/>
    </x:row>
    <x:row r="193">
      <x:c r="A193" s="8"/>
      <x:c r="B193" s="8"/>
      <x:c r="C193" s="8"/>
      <x:c r="D193" s="8"/>
      <x:c r="E193" s="8"/>
      <x:c r="F193" s="8"/>
      <x:c r="G193" s="12"/>
      <x:c r="H193" s="8"/>
      <x:c r="I193" s="13" t="str">
        <x:f>IF(G193="","",G193-TODAY())</x:f>
      </x:c>
      <x:c r="J193" s="8"/>
    </x:row>
    <x:row r="194">
      <x:c r="A194" s="8"/>
      <x:c r="B194" s="8"/>
      <x:c r="C194" s="8"/>
      <x:c r="D194" s="8"/>
      <x:c r="E194" s="8"/>
      <x:c r="F194" s="8"/>
      <x:c r="G194" s="12"/>
      <x:c r="H194" s="8"/>
      <x:c r="I194" s="13" t="str">
        <x:f>IF(G194="","",G194-TODAY())</x:f>
      </x:c>
      <x:c r="J194" s="8"/>
    </x:row>
    <x:row r="195">
      <x:c r="A195" s="8"/>
      <x:c r="B195" s="8"/>
      <x:c r="C195" s="8"/>
      <x:c r="D195" s="8"/>
      <x:c r="E195" s="8"/>
      <x:c r="F195" s="8"/>
      <x:c r="G195" s="12"/>
      <x:c r="H195" s="8"/>
      <x:c r="I195" s="13" t="str">
        <x:f>IF(G195="","",G195-TODAY())</x:f>
      </x:c>
      <x:c r="J195" s="8"/>
    </x:row>
    <x:row r="196">
      <x:c r="A196" s="8"/>
      <x:c r="B196" s="8"/>
      <x:c r="C196" s="8"/>
      <x:c r="D196" s="8"/>
      <x:c r="E196" s="8"/>
      <x:c r="F196" s="8"/>
      <x:c r="G196" s="12"/>
      <x:c r="H196" s="8"/>
      <x:c r="I196" s="13" t="str">
        <x:f>IF(G196="","",G196-TODAY())</x:f>
      </x:c>
      <x:c r="J196" s="8"/>
    </x:row>
    <x:row r="197">
      <x:c r="A197" s="8"/>
      <x:c r="B197" s="8"/>
      <x:c r="C197" s="8"/>
      <x:c r="D197" s="8"/>
      <x:c r="E197" s="8"/>
      <x:c r="F197" s="8"/>
      <x:c r="G197" s="12"/>
      <x:c r="H197" s="8"/>
      <x:c r="I197" s="13" t="str">
        <x:f>IF(G197="","",G197-TODAY())</x:f>
      </x:c>
      <x:c r="J197" s="8"/>
    </x:row>
    <x:row r="198">
      <x:c r="A198" s="8"/>
      <x:c r="B198" s="8"/>
      <x:c r="C198" s="8"/>
      <x:c r="D198" s="8"/>
      <x:c r="E198" s="8"/>
      <x:c r="F198" s="8"/>
      <x:c r="G198" s="12"/>
      <x:c r="H198" s="8"/>
      <x:c r="I198" s="13" t="str">
        <x:f>IF(G198="","",G198-TODAY())</x:f>
      </x:c>
      <x:c r="J198" s="8"/>
    </x:row>
    <x:row r="199">
      <x:c r="A199" s="8"/>
      <x:c r="B199" s="8"/>
      <x:c r="C199" s="8"/>
      <x:c r="D199" s="8"/>
      <x:c r="E199" s="8"/>
      <x:c r="F199" s="8"/>
      <x:c r="G199" s="12"/>
      <x:c r="H199" s="8"/>
      <x:c r="I199" s="13" t="str">
        <x:f>IF(G199="","",G199-TODAY())</x:f>
      </x:c>
      <x:c r="J199" s="8"/>
    </x:row>
    <x:row r="200">
      <x:c r="A200" s="8"/>
      <x:c r="B200" s="8"/>
      <x:c r="C200" s="8"/>
      <x:c r="D200" s="8"/>
      <x:c r="E200" s="8"/>
      <x:c r="F200" s="8"/>
      <x:c r="G200" s="12"/>
      <x:c r="H200" s="8"/>
      <x:c r="I200" s="13" t="str">
        <x:f>IF(G200="","",G200-TODAY())</x:f>
      </x:c>
      <x:c r="J200" s="8"/>
    </x:row>
    <x:row r="201">
      <x:c r="A201" s="8"/>
      <x:c r="B201" s="8"/>
      <x:c r="C201" s="8"/>
      <x:c r="D201" s="8"/>
      <x:c r="E201" s="8"/>
      <x:c r="F201" s="8"/>
      <x:c r="G201" s="12"/>
      <x:c r="H201" s="8"/>
      <x:c r="I201" s="13" t="str">
        <x:f>IF(G201="","",G201-TODAY())</x:f>
      </x:c>
      <x:c r="J201" s="8"/>
    </x:row>
    <x:row r="202">
      <x:c r="A202" s="8"/>
      <x:c r="B202" s="8"/>
      <x:c r="C202" s="8"/>
      <x:c r="D202" s="8"/>
      <x:c r="E202" s="8"/>
      <x:c r="F202" s="8"/>
      <x:c r="G202" s="12"/>
      <x:c r="H202" s="8"/>
      <x:c r="I202" s="13" t="str">
        <x:f>IF(G202="","",G202-TODAY())</x:f>
      </x:c>
      <x:c r="J202" s="8"/>
    </x:row>
    <x:row r="203">
      <x:c r="A203" s="8"/>
      <x:c r="B203" s="8"/>
      <x:c r="C203" s="8"/>
      <x:c r="D203" s="8"/>
      <x:c r="E203" s="8"/>
      <x:c r="F203" s="8"/>
      <x:c r="G203" s="12"/>
      <x:c r="H203" s="8"/>
      <x:c r="I203" s="13" t="str">
        <x:f>IF(G203="","",G203-TODAY())</x:f>
      </x:c>
      <x:c r="J203" s="8"/>
    </x:row>
    <x:row r="204">
      <x:c r="A204" s="8"/>
      <x:c r="B204" s="8"/>
      <x:c r="C204" s="8"/>
      <x:c r="D204" s="8"/>
      <x:c r="E204" s="8"/>
      <x:c r="F204" s="8"/>
      <x:c r="G204" s="12"/>
      <x:c r="H204" s="8"/>
      <x:c r="I204" s="13" t="str">
        <x:f>IF(G204="","",G204-TODAY())</x:f>
      </x:c>
      <x:c r="J204" s="8"/>
    </x:row>
  </x:sheetData>
  <x:mergeCells>
    <x:mergeCell ref="A1:H1"/>
    <x:mergeCell ref="A2:H2"/>
  </x:mergeCells>
  <x:conditionalFormatting sqref="I5:I10">
    <x:cfRule type="cellIs" dxfId="2" priority="1" operator="lessThanOrEqual">
      <x:formula>7</x:formula>
    </x:cfRule>
    <x:cfRule type="cellIs" dxfId="3" priority="2" operator="between">
      <x:formula>8</x:formula>
      <x:formula>30</x:formula>
    </x:cfRule>
  </x:conditionalFormatting>
  <x:dataValidations count="1">
    <x:dataValidation type="list" sqref="H5:H204">
      <x:formula1>Lists!$E$5:$E$9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a358484d774c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6.2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23.75" hidden="0" customWidth="1"/>
  </x:cols>
  <x:sheetData>
    <x:row r="1" ht="25.5" customHeight="1">
      <x:c r="A1" s="2" t="str">
        <x:v>Renewal Calendar</x:v>
      </x:c>
    </x:row>
    <x:row r="2">
      <x:c r="A2" s="10" t="str">
        <x:v>Formula-backed view of notice windows and owner action.</x:v>
      </x:c>
    </x:row>
    <x:row r="4">
      <x:c r="A4" s="6" t="str">
        <x:v>Contract ID</x:v>
      </x:c>
      <x:c r="B4" s="6" t="str">
        <x:v>Counterparty</x:v>
      </x:c>
      <x:c r="C4" s="6" t="str">
        <x:v>Owner</x:v>
      </x:c>
      <x:c r="D4" s="6" t="str">
        <x:v>End Date</x:v>
      </x:c>
      <x:c r="E4" s="6" t="str">
        <x:v>Notice Date</x:v>
      </x:c>
      <x:c r="F4" s="6" t="str">
        <x:v>Days to Notice</x:v>
      </x:c>
      <x:c r="G4" s="6" t="str">
        <x:v>Auto Renew?</x:v>
      </x:c>
      <x:c r="H4" s="6" t="str">
        <x:v>Action</x:v>
      </x:c>
    </x:row>
    <x:row r="5">
      <x:c r="A5" s="8" t="str">
        <x:f>IF('Contract Register'!A5="","",'Contract Register'!A5)</x:f>
        <x:v>CT-001</x:v>
      </x:c>
      <x:c r="B5" s="8" t="str">
        <x:f>IF('Contract Register'!A5="","",'Contract Register'!B5)</x:f>
        <x:v>Northwind Systems LLC</x:v>
      </x:c>
      <x:c r="C5" s="8" t="str">
        <x:f>IF('Contract Register'!A5="","",'Contract Register'!D5)</x:f>
        <x:v>Sales Ops</x:v>
      </x:c>
      <x:c r="D5" s="12" t="n">
        <x:f>IF('Contract Register'!A5="","",'Contract Register'!I5)</x:f>
        <x:v>46401</x:v>
      </x:c>
      <x:c r="E5" s="12" t="n">
        <x:f>IF('Contract Register'!A5="","",'Contract Register'!J5)</x:f>
        <x:v>46341</x:v>
      </x:c>
      <x:c r="F5" s="13" t="n">
        <x:f>IF('Contract Register'!A5="","",'Contract Register'!K5)</x:f>
        <x:v>153</x:v>
      </x:c>
      <x:c r="G5" s="8" t="str">
        <x:f>IF('Contract Register'!A5="","",'Contract Register'!L5)</x:f>
        <x:v>Yes</x:v>
      </x:c>
      <x:c r="H5" s="8" t="str">
        <x:f>IF(A5="","",IF(F5&lt;=30,"Escalate now",IF(F5&lt;=90,"Prepare renewal decision","Monitor")))</x:f>
        <x:v>Monitor</x:v>
      </x:c>
    </x:row>
    <x:row r="6">
      <x:c r="A6" s="8" t="str">
        <x:f>IF('Contract Register'!A6="","",'Contract Register'!A6)</x:f>
        <x:v>CT-002</x:v>
      </x:c>
      <x:c r="B6" s="8" t="str">
        <x:f>IF('Contract Register'!A6="","",'Contract Register'!B6)</x:f>
        <x:v>Blue Harbor Data</x:v>
      </x:c>
      <x:c r="C6" s="8" t="str">
        <x:f>IF('Contract Register'!A6="","",'Contract Register'!D6)</x:f>
        <x:v>Security</x:v>
      </x:c>
      <x:c r="D6" s="12" t="n">
        <x:f>IF('Contract Register'!A6="","",'Contract Register'!I6)</x:f>
        <x:v>46538</x:v>
      </x:c>
      <x:c r="E6" s="12" t="n">
        <x:f>IF('Contract Register'!A6="","",'Contract Register'!J6)</x:f>
        <x:v>46477</x:v>
      </x:c>
      <x:c r="F6" s="13" t="n">
        <x:f>IF('Contract Register'!A6="","",'Contract Register'!K6)</x:f>
        <x:v>289</x:v>
      </x:c>
      <x:c r="G6" s="8" t="str">
        <x:f>IF('Contract Register'!A6="","",'Contract Register'!L6)</x:f>
        <x:v>No</x:v>
      </x:c>
      <x:c r="H6" s="8" t="str">
        <x:f>IF(A6="","",IF(F6&lt;=30,"Escalate now",IF(F6&lt;=90,"Prepare renewal decision","Monitor")))</x:f>
        <x:v>Monitor</x:v>
      </x:c>
    </x:row>
    <x:row r="7">
      <x:c r="A7" s="8" t="str">
        <x:f>IF('Contract Register'!A7="","",'Contract Register'!A7)</x:f>
        <x:v>CT-003</x:v>
      </x:c>
      <x:c r="B7" s="8" t="str">
        <x:f>IF('Contract Register'!A7="","",'Contract Register'!B7)</x:f>
        <x:v>Greenline Supplies</x:v>
      </x:c>
      <x:c r="C7" s="8" t="str">
        <x:f>IF('Contract Register'!A7="","",'Contract Register'!D7)</x:f>
        <x:v>Operations</x:v>
      </x:c>
      <x:c r="D7" s="12" t="n">
        <x:f>IF('Contract Register'!A7="","",'Contract Register'!I7)</x:f>
        <x:v>46446</x:v>
      </x:c>
      <x:c r="E7" s="12" t="n">
        <x:f>IF('Contract Register'!A7="","",'Contract Register'!J7)</x:f>
        <x:v>46386</x:v>
      </x:c>
      <x:c r="F7" s="13" t="n">
        <x:f>IF('Contract Register'!A7="","",'Contract Register'!K7)</x:f>
        <x:v>198</x:v>
      </x:c>
      <x:c r="G7" s="8" t="str">
        <x:f>IF('Contract Register'!A7="","",'Contract Register'!L7)</x:f>
        <x:v>Yes</x:v>
      </x:c>
      <x:c r="H7" s="8" t="str">
        <x:f>IF(A7="","",IF(F7&lt;=30,"Escalate now",IF(F7&lt;=90,"Prepare renewal decision","Monitor")))</x:f>
        <x:v>Monitor</x:v>
      </x:c>
    </x:row>
    <x:row r="8">
      <x:c r="A8" s="8" t="str">
        <x:f>IF('Contract Register'!A8="","",'Contract Register'!A8)</x:f>
        <x:v>CT-004</x:v>
      </x:c>
      <x:c r="B8" s="8" t="str">
        <x:f>IF('Contract Register'!A8="","",'Contract Register'!B8)</x:f>
        <x:v>Acme Retail Group</x:v>
      </x:c>
      <x:c r="C8" s="8" t="str">
        <x:f>IF('Contract Register'!A8="","",'Contract Register'!D8)</x:f>
        <x:v>Customer Success</x:v>
      </x:c>
      <x:c r="D8" s="12" t="n">
        <x:f>IF('Contract Register'!A8="","",'Contract Register'!I8)</x:f>
        <x:v>46568</x:v>
      </x:c>
      <x:c r="E8" s="12" t="n">
        <x:f>IF('Contract Register'!A8="","",'Contract Register'!J8)</x:f>
        <x:v>46507</x:v>
      </x:c>
      <x:c r="F8" s="13" t="n">
        <x:f>IF('Contract Register'!A8="","",'Contract Register'!K8)</x:f>
        <x:v>319</x:v>
      </x:c>
      <x:c r="G8" s="8" t="str">
        <x:f>IF('Contract Register'!A8="","",'Contract Register'!L8)</x:f>
        <x:v>No</x:v>
      </x:c>
      <x:c r="H8" s="8" t="str">
        <x:f>IF(A8="","",IF(F8&lt;=30,"Escalate now",IF(F8&lt;=90,"Prepare renewal decision","Monitor")))</x:f>
        <x:v>Monitor</x:v>
      </x:c>
    </x:row>
    <x:row r="9">
      <x:c r="A9" s="8" t="str">
        <x:f>IF('Contract Register'!A9="","",'Contract Register'!A9)</x:f>
        <x:v>CT-005</x:v>
      </x:c>
      <x:c r="B9" s="8" t="str">
        <x:f>IF('Contract Register'!A9="","",'Contract Register'!B9)</x:f>
        <x:v>BrightPath Partners</x:v>
      </x:c>
      <x:c r="C9" s="8" t="str">
        <x:f>IF('Contract Register'!A9="","",'Contract Register'!D9)</x:f>
        <x:v>Partnerships</x:v>
      </x:c>
      <x:c r="D9" s="12" t="n">
        <x:f>IF('Contract Register'!A9="","",'Contract Register'!I9)</x:f>
        <x:v>46923</x:v>
      </x:c>
      <x:c r="E9" s="12" t="n">
        <x:f>IF('Contract Register'!A9="","",'Contract Register'!J9)</x:f>
        <x:v>46863</x:v>
      </x:c>
      <x:c r="F9" s="13" t="n">
        <x:f>IF('Contract Register'!A9="","",'Contract Register'!K9)</x:f>
        <x:v>675</x:v>
      </x:c>
      <x:c r="G9" s="8" t="str">
        <x:f>IF('Contract Register'!A9="","",'Contract Register'!L9)</x:f>
        <x:v>No</x:v>
      </x:c>
      <x:c r="H9" s="8" t="str">
        <x:f>IF(A9="","",IF(F9&lt;=30,"Escalate now",IF(F9&lt;=90,"Prepare renewal decision","Monitor")))</x:f>
        <x:v>Monitor</x:v>
      </x:c>
    </x:row>
    <x:row r="10">
      <x:c r="A10" s="8" t="str">
        <x:f>IF('Contract Register'!A10="","",'Contract Register'!A10)</x:f>
      </x:c>
      <x:c r="B10" s="8" t="str">
        <x:f>IF('Contract Register'!A10="","",'Contract Register'!B10)</x:f>
      </x:c>
      <x:c r="C10" s="8" t="str">
        <x:f>IF('Contract Register'!A10="","",'Contract Register'!D10)</x:f>
      </x:c>
      <x:c r="D10" s="12" t="str">
        <x:f>IF('Contract Register'!A10="","",'Contract Register'!I10)</x:f>
      </x:c>
      <x:c r="E10" s="12" t="str">
        <x:f>IF('Contract Register'!A10="","",'Contract Register'!J10)</x:f>
      </x:c>
      <x:c r="F10" s="13" t="str">
        <x:f>IF('Contract Register'!A10="","",'Contract Register'!K10)</x:f>
      </x:c>
      <x:c r="G10" s="8" t="str">
        <x:f>IF('Contract Register'!A10="","",'Contract Register'!L10)</x:f>
      </x:c>
      <x:c r="H10" s="8" t="str">
        <x:f>IF(A10="","",IF(F10&lt;=30,"Escalate now",IF(F10&lt;=90,"Prepare renewal decision","Monitor")))</x:f>
      </x:c>
    </x:row>
    <x:row r="11">
      <x:c r="A11" s="8" t="str">
        <x:f>IF('Contract Register'!A11="","",'Contract Register'!A11)</x:f>
      </x:c>
      <x:c r="B11" s="8" t="str">
        <x:f>IF('Contract Register'!A11="","",'Contract Register'!B11)</x:f>
      </x:c>
      <x:c r="C11" s="8" t="str">
        <x:f>IF('Contract Register'!A11="","",'Contract Register'!D11)</x:f>
      </x:c>
      <x:c r="D11" s="12" t="str">
        <x:f>IF('Contract Register'!A11="","",'Contract Register'!I11)</x:f>
      </x:c>
      <x:c r="E11" s="12" t="str">
        <x:f>IF('Contract Register'!A11="","",'Contract Register'!J11)</x:f>
      </x:c>
      <x:c r="F11" s="13" t="str">
        <x:f>IF('Contract Register'!A11="","",'Contract Register'!K11)</x:f>
      </x:c>
      <x:c r="G11" s="8" t="str">
        <x:f>IF('Contract Register'!A11="","",'Contract Register'!L11)</x:f>
      </x:c>
      <x:c r="H11" s="8" t="str">
        <x:f>IF(A11="","",IF(F11&lt;=30,"Escalate now",IF(F11&lt;=90,"Prepare renewal decision","Monitor")))</x:f>
      </x:c>
    </x:row>
    <x:row r="12">
      <x:c r="A12" s="8" t="str">
        <x:f>IF('Contract Register'!A12="","",'Contract Register'!A12)</x:f>
      </x:c>
      <x:c r="B12" s="8" t="str">
        <x:f>IF('Contract Register'!A12="","",'Contract Register'!B12)</x:f>
      </x:c>
      <x:c r="C12" s="8" t="str">
        <x:f>IF('Contract Register'!A12="","",'Contract Register'!D12)</x:f>
      </x:c>
      <x:c r="D12" s="12" t="str">
        <x:f>IF('Contract Register'!A12="","",'Contract Register'!I12)</x:f>
      </x:c>
      <x:c r="E12" s="12" t="str">
        <x:f>IF('Contract Register'!A12="","",'Contract Register'!J12)</x:f>
      </x:c>
      <x:c r="F12" s="13" t="str">
        <x:f>IF('Contract Register'!A12="","",'Contract Register'!K12)</x:f>
      </x:c>
      <x:c r="G12" s="8" t="str">
        <x:f>IF('Contract Register'!A12="","",'Contract Register'!L12)</x:f>
      </x:c>
      <x:c r="H12" s="8" t="str">
        <x:f>IF(A12="","",IF(F12&lt;=30,"Escalate now",IF(F12&lt;=90,"Prepare renewal decision","Monitor")))</x:f>
      </x:c>
    </x:row>
    <x:row r="13">
      <x:c r="A13" s="8" t="str">
        <x:f>IF('Contract Register'!A13="","",'Contract Register'!A13)</x:f>
      </x:c>
      <x:c r="B13" s="8" t="str">
        <x:f>IF('Contract Register'!A13="","",'Contract Register'!B13)</x:f>
      </x:c>
      <x:c r="C13" s="8" t="str">
        <x:f>IF('Contract Register'!A13="","",'Contract Register'!D13)</x:f>
      </x:c>
      <x:c r="D13" s="12" t="str">
        <x:f>IF('Contract Register'!A13="","",'Contract Register'!I13)</x:f>
      </x:c>
      <x:c r="E13" s="12" t="str">
        <x:f>IF('Contract Register'!A13="","",'Contract Register'!J13)</x:f>
      </x:c>
      <x:c r="F13" s="13" t="str">
        <x:f>IF('Contract Register'!A13="","",'Contract Register'!K13)</x:f>
      </x:c>
      <x:c r="G13" s="8" t="str">
        <x:f>IF('Contract Register'!A13="","",'Contract Register'!L13)</x:f>
      </x:c>
      <x:c r="H13" s="8" t="str">
        <x:f>IF(A13="","",IF(F13&lt;=30,"Escalate now",IF(F13&lt;=90,"Prepare renewal decision","Monitor")))</x:f>
      </x:c>
    </x:row>
    <x:row r="14">
      <x:c r="A14" s="8" t="str">
        <x:f>IF('Contract Register'!A14="","",'Contract Register'!A14)</x:f>
      </x:c>
      <x:c r="B14" s="8" t="str">
        <x:f>IF('Contract Register'!A14="","",'Contract Register'!B14)</x:f>
      </x:c>
      <x:c r="C14" s="8" t="str">
        <x:f>IF('Contract Register'!A14="","",'Contract Register'!D14)</x:f>
      </x:c>
      <x:c r="D14" s="12" t="str">
        <x:f>IF('Contract Register'!A14="","",'Contract Register'!I14)</x:f>
      </x:c>
      <x:c r="E14" s="12" t="str">
        <x:f>IF('Contract Register'!A14="","",'Contract Register'!J14)</x:f>
      </x:c>
      <x:c r="F14" s="13" t="str">
        <x:f>IF('Contract Register'!A14="","",'Contract Register'!K14)</x:f>
      </x:c>
      <x:c r="G14" s="8" t="str">
        <x:f>IF('Contract Register'!A14="","",'Contract Register'!L14)</x:f>
      </x:c>
      <x:c r="H14" s="8" t="str">
        <x:f>IF(A14="","",IF(F14&lt;=30,"Escalate now",IF(F14&lt;=90,"Prepare renewal decision","Monitor")))</x:f>
      </x:c>
    </x:row>
    <x:row r="15">
      <x:c r="A15" s="8" t="str">
        <x:f>IF('Contract Register'!A15="","",'Contract Register'!A15)</x:f>
      </x:c>
      <x:c r="B15" s="8" t="str">
        <x:f>IF('Contract Register'!A15="","",'Contract Register'!B15)</x:f>
      </x:c>
      <x:c r="C15" s="8" t="str">
        <x:f>IF('Contract Register'!A15="","",'Contract Register'!D15)</x:f>
      </x:c>
      <x:c r="D15" s="12" t="str">
        <x:f>IF('Contract Register'!A15="","",'Contract Register'!I15)</x:f>
      </x:c>
      <x:c r="E15" s="12" t="str">
        <x:f>IF('Contract Register'!A15="","",'Contract Register'!J15)</x:f>
      </x:c>
      <x:c r="F15" s="13" t="str">
        <x:f>IF('Contract Register'!A15="","",'Contract Register'!K15)</x:f>
      </x:c>
      <x:c r="G15" s="8" t="str">
        <x:f>IF('Contract Register'!A15="","",'Contract Register'!L15)</x:f>
      </x:c>
      <x:c r="H15" s="8" t="str">
        <x:f>IF(A15="","",IF(F15&lt;=30,"Escalate now",IF(F15&lt;=90,"Prepare renewal decision","Monitor")))</x:f>
      </x:c>
    </x:row>
    <x:row r="16">
      <x:c r="A16" s="8" t="str">
        <x:f>IF('Contract Register'!A16="","",'Contract Register'!A16)</x:f>
      </x:c>
      <x:c r="B16" s="8" t="str">
        <x:f>IF('Contract Register'!A16="","",'Contract Register'!B16)</x:f>
      </x:c>
      <x:c r="C16" s="8" t="str">
        <x:f>IF('Contract Register'!A16="","",'Contract Register'!D16)</x:f>
      </x:c>
      <x:c r="D16" s="12" t="str">
        <x:f>IF('Contract Register'!A16="","",'Contract Register'!I16)</x:f>
      </x:c>
      <x:c r="E16" s="12" t="str">
        <x:f>IF('Contract Register'!A16="","",'Contract Register'!J16)</x:f>
      </x:c>
      <x:c r="F16" s="13" t="str">
        <x:f>IF('Contract Register'!A16="","",'Contract Register'!K16)</x:f>
      </x:c>
      <x:c r="G16" s="8" t="str">
        <x:f>IF('Contract Register'!A16="","",'Contract Register'!L16)</x:f>
      </x:c>
      <x:c r="H16" s="8" t="str">
        <x:f>IF(A16="","",IF(F16&lt;=30,"Escalate now",IF(F16&lt;=90,"Prepare renewal decision","Monitor")))</x:f>
      </x:c>
    </x:row>
    <x:row r="17">
      <x:c r="A17" s="8" t="str">
        <x:f>IF('Contract Register'!A17="","",'Contract Register'!A17)</x:f>
      </x:c>
      <x:c r="B17" s="8" t="str">
        <x:f>IF('Contract Register'!A17="","",'Contract Register'!B17)</x:f>
      </x:c>
      <x:c r="C17" s="8" t="str">
        <x:f>IF('Contract Register'!A17="","",'Contract Register'!D17)</x:f>
      </x:c>
      <x:c r="D17" s="12" t="str">
        <x:f>IF('Contract Register'!A17="","",'Contract Register'!I17)</x:f>
      </x:c>
      <x:c r="E17" s="12" t="str">
        <x:f>IF('Contract Register'!A17="","",'Contract Register'!J17)</x:f>
      </x:c>
      <x:c r="F17" s="13" t="str">
        <x:f>IF('Contract Register'!A17="","",'Contract Register'!K17)</x:f>
      </x:c>
      <x:c r="G17" s="8" t="str">
        <x:f>IF('Contract Register'!A17="","",'Contract Register'!L17)</x:f>
      </x:c>
      <x:c r="H17" s="8" t="str">
        <x:f>IF(A17="","",IF(F17&lt;=30,"Escalate now",IF(F17&lt;=90,"Prepare renewal decision","Monitor")))</x:f>
      </x:c>
    </x:row>
    <x:row r="18">
      <x:c r="A18" s="8" t="str">
        <x:f>IF('Contract Register'!A18="","",'Contract Register'!A18)</x:f>
      </x:c>
      <x:c r="B18" s="8" t="str">
        <x:f>IF('Contract Register'!A18="","",'Contract Register'!B18)</x:f>
      </x:c>
      <x:c r="C18" s="8" t="str">
        <x:f>IF('Contract Register'!A18="","",'Contract Register'!D18)</x:f>
      </x:c>
      <x:c r="D18" s="12" t="str">
        <x:f>IF('Contract Register'!A18="","",'Contract Register'!I18)</x:f>
      </x:c>
      <x:c r="E18" s="12" t="str">
        <x:f>IF('Contract Register'!A18="","",'Contract Register'!J18)</x:f>
      </x:c>
      <x:c r="F18" s="13" t="str">
        <x:f>IF('Contract Register'!A18="","",'Contract Register'!K18)</x:f>
      </x:c>
      <x:c r="G18" s="8" t="str">
        <x:f>IF('Contract Register'!A18="","",'Contract Register'!L18)</x:f>
      </x:c>
      <x:c r="H18" s="8" t="str">
        <x:f>IF(A18="","",IF(F18&lt;=30,"Escalate now",IF(F18&lt;=90,"Prepare renewal decision","Monitor")))</x:f>
      </x:c>
    </x:row>
    <x:row r="19">
      <x:c r="A19" s="8" t="str">
        <x:f>IF('Contract Register'!A19="","",'Contract Register'!A19)</x:f>
      </x:c>
      <x:c r="B19" s="8" t="str">
        <x:f>IF('Contract Register'!A19="","",'Contract Register'!B19)</x:f>
      </x:c>
      <x:c r="C19" s="8" t="str">
        <x:f>IF('Contract Register'!A19="","",'Contract Register'!D19)</x:f>
      </x:c>
      <x:c r="D19" s="12" t="str">
        <x:f>IF('Contract Register'!A19="","",'Contract Register'!I19)</x:f>
      </x:c>
      <x:c r="E19" s="12" t="str">
        <x:f>IF('Contract Register'!A19="","",'Contract Register'!J19)</x:f>
      </x:c>
      <x:c r="F19" s="13" t="str">
        <x:f>IF('Contract Register'!A19="","",'Contract Register'!K19)</x:f>
      </x:c>
      <x:c r="G19" s="8" t="str">
        <x:f>IF('Contract Register'!A19="","",'Contract Register'!L19)</x:f>
      </x:c>
      <x:c r="H19" s="8" t="str">
        <x:f>IF(A19="","",IF(F19&lt;=30,"Escalate now",IF(F19&lt;=90,"Prepare renewal decision","Monitor")))</x:f>
      </x:c>
    </x:row>
    <x:row r="20">
      <x:c r="A20" s="8" t="str">
        <x:f>IF('Contract Register'!A20="","",'Contract Register'!A20)</x:f>
      </x:c>
      <x:c r="B20" s="8" t="str">
        <x:f>IF('Contract Register'!A20="","",'Contract Register'!B20)</x:f>
      </x:c>
      <x:c r="C20" s="8" t="str">
        <x:f>IF('Contract Register'!A20="","",'Contract Register'!D20)</x:f>
      </x:c>
      <x:c r="D20" s="12" t="str">
        <x:f>IF('Contract Register'!A20="","",'Contract Register'!I20)</x:f>
      </x:c>
      <x:c r="E20" s="12" t="str">
        <x:f>IF('Contract Register'!A20="","",'Contract Register'!J20)</x:f>
      </x:c>
      <x:c r="F20" s="13" t="str">
        <x:f>IF('Contract Register'!A20="","",'Contract Register'!K20)</x:f>
      </x:c>
      <x:c r="G20" s="8" t="str">
        <x:f>IF('Contract Register'!A20="","",'Contract Register'!L20)</x:f>
      </x:c>
      <x:c r="H20" s="8" t="str">
        <x:f>IF(A20="","",IF(F20&lt;=30,"Escalate now",IF(F20&lt;=90,"Prepare renewal decision","Monitor")))</x:f>
      </x:c>
    </x:row>
    <x:row r="21">
      <x:c r="A21" s="8" t="str">
        <x:f>IF('Contract Register'!A21="","",'Contract Register'!A21)</x:f>
      </x:c>
      <x:c r="B21" s="8" t="str">
        <x:f>IF('Contract Register'!A21="","",'Contract Register'!B21)</x:f>
      </x:c>
      <x:c r="C21" s="8" t="str">
        <x:f>IF('Contract Register'!A21="","",'Contract Register'!D21)</x:f>
      </x:c>
      <x:c r="D21" s="12" t="str">
        <x:f>IF('Contract Register'!A21="","",'Contract Register'!I21)</x:f>
      </x:c>
      <x:c r="E21" s="12" t="str">
        <x:f>IF('Contract Register'!A21="","",'Contract Register'!J21)</x:f>
      </x:c>
      <x:c r="F21" s="13" t="str">
        <x:f>IF('Contract Register'!A21="","",'Contract Register'!K21)</x:f>
      </x:c>
      <x:c r="G21" s="8" t="str">
        <x:f>IF('Contract Register'!A21="","",'Contract Register'!L21)</x:f>
      </x:c>
      <x:c r="H21" s="8" t="str">
        <x:f>IF(A21="","",IF(F21&lt;=30,"Escalate now",IF(F21&lt;=90,"Prepare renewal decision","Monitor")))</x:f>
      </x:c>
    </x:row>
    <x:row r="22">
      <x:c r="A22" s="8" t="str">
        <x:f>IF('Contract Register'!A22="","",'Contract Register'!A22)</x:f>
      </x:c>
      <x:c r="B22" s="8" t="str">
        <x:f>IF('Contract Register'!A22="","",'Contract Register'!B22)</x:f>
      </x:c>
      <x:c r="C22" s="8" t="str">
        <x:f>IF('Contract Register'!A22="","",'Contract Register'!D22)</x:f>
      </x:c>
      <x:c r="D22" s="12" t="str">
        <x:f>IF('Contract Register'!A22="","",'Contract Register'!I22)</x:f>
      </x:c>
      <x:c r="E22" s="12" t="str">
        <x:f>IF('Contract Register'!A22="","",'Contract Register'!J22)</x:f>
      </x:c>
      <x:c r="F22" s="13" t="str">
        <x:f>IF('Contract Register'!A22="","",'Contract Register'!K22)</x:f>
      </x:c>
      <x:c r="G22" s="8" t="str">
        <x:f>IF('Contract Register'!A22="","",'Contract Register'!L22)</x:f>
      </x:c>
      <x:c r="H22" s="8" t="str">
        <x:f>IF(A22="","",IF(F22&lt;=30,"Escalate now",IF(F22&lt;=90,"Prepare renewal decision","Monitor")))</x:f>
      </x:c>
    </x:row>
    <x:row r="23">
      <x:c r="A23" s="8" t="str">
        <x:f>IF('Contract Register'!A23="","",'Contract Register'!A23)</x:f>
      </x:c>
      <x:c r="B23" s="8" t="str">
        <x:f>IF('Contract Register'!A23="","",'Contract Register'!B23)</x:f>
      </x:c>
      <x:c r="C23" s="8" t="str">
        <x:f>IF('Contract Register'!A23="","",'Contract Register'!D23)</x:f>
      </x:c>
      <x:c r="D23" s="12" t="str">
        <x:f>IF('Contract Register'!A23="","",'Contract Register'!I23)</x:f>
      </x:c>
      <x:c r="E23" s="12" t="str">
        <x:f>IF('Contract Register'!A23="","",'Contract Register'!J23)</x:f>
      </x:c>
      <x:c r="F23" s="13" t="str">
        <x:f>IF('Contract Register'!A23="","",'Contract Register'!K23)</x:f>
      </x:c>
      <x:c r="G23" s="8" t="str">
        <x:f>IF('Contract Register'!A23="","",'Contract Register'!L23)</x:f>
      </x:c>
      <x:c r="H23" s="8" t="str">
        <x:f>IF(A23="","",IF(F23&lt;=30,"Escalate now",IF(F23&lt;=90,"Prepare renewal decision","Monitor")))</x:f>
      </x:c>
    </x:row>
    <x:row r="24">
      <x:c r="A24" s="8" t="str">
        <x:f>IF('Contract Register'!A24="","",'Contract Register'!A24)</x:f>
      </x:c>
      <x:c r="B24" s="8" t="str">
        <x:f>IF('Contract Register'!A24="","",'Contract Register'!B24)</x:f>
      </x:c>
      <x:c r="C24" s="8" t="str">
        <x:f>IF('Contract Register'!A24="","",'Contract Register'!D24)</x:f>
      </x:c>
      <x:c r="D24" s="12" t="str">
        <x:f>IF('Contract Register'!A24="","",'Contract Register'!I24)</x:f>
      </x:c>
      <x:c r="E24" s="12" t="str">
        <x:f>IF('Contract Register'!A24="","",'Contract Register'!J24)</x:f>
      </x:c>
      <x:c r="F24" s="13" t="str">
        <x:f>IF('Contract Register'!A24="","",'Contract Register'!K24)</x:f>
      </x:c>
      <x:c r="G24" s="8" t="str">
        <x:f>IF('Contract Register'!A24="","",'Contract Register'!L24)</x:f>
      </x:c>
      <x:c r="H24" s="8" t="str">
        <x:f>IF(A24="","",IF(F24&lt;=30,"Escalate now",IF(F24&lt;=90,"Prepare renewal decision","Monitor")))</x:f>
      </x:c>
    </x:row>
    <x:row r="25">
      <x:c r="A25" s="8" t="str">
        <x:f>IF('Contract Register'!A25="","",'Contract Register'!A25)</x:f>
      </x:c>
      <x:c r="B25" s="8" t="str">
        <x:f>IF('Contract Register'!A25="","",'Contract Register'!B25)</x:f>
      </x:c>
      <x:c r="C25" s="8" t="str">
        <x:f>IF('Contract Register'!A25="","",'Contract Register'!D25)</x:f>
      </x:c>
      <x:c r="D25" s="12" t="str">
        <x:f>IF('Contract Register'!A25="","",'Contract Register'!I25)</x:f>
      </x:c>
      <x:c r="E25" s="12" t="str">
        <x:f>IF('Contract Register'!A25="","",'Contract Register'!J25)</x:f>
      </x:c>
      <x:c r="F25" s="13" t="str">
        <x:f>IF('Contract Register'!A25="","",'Contract Register'!K25)</x:f>
      </x:c>
      <x:c r="G25" s="8" t="str">
        <x:f>IF('Contract Register'!A25="","",'Contract Register'!L25)</x:f>
      </x:c>
      <x:c r="H25" s="8" t="str">
        <x:f>IF(A25="","",IF(F25&lt;=30,"Escalate now",IF(F25&lt;=90,"Prepare renewal decision","Monitor")))</x:f>
      </x:c>
    </x:row>
    <x:row r="26">
      <x:c r="A26" s="8" t="str">
        <x:f>IF('Contract Register'!A26="","",'Contract Register'!A26)</x:f>
      </x:c>
      <x:c r="B26" s="8" t="str">
        <x:f>IF('Contract Register'!A26="","",'Contract Register'!B26)</x:f>
      </x:c>
      <x:c r="C26" s="8" t="str">
        <x:f>IF('Contract Register'!A26="","",'Contract Register'!D26)</x:f>
      </x:c>
      <x:c r="D26" s="12" t="str">
        <x:f>IF('Contract Register'!A26="","",'Contract Register'!I26)</x:f>
      </x:c>
      <x:c r="E26" s="12" t="str">
        <x:f>IF('Contract Register'!A26="","",'Contract Register'!J26)</x:f>
      </x:c>
      <x:c r="F26" s="13" t="str">
        <x:f>IF('Contract Register'!A26="","",'Contract Register'!K26)</x:f>
      </x:c>
      <x:c r="G26" s="8" t="str">
        <x:f>IF('Contract Register'!A26="","",'Contract Register'!L26)</x:f>
      </x:c>
      <x:c r="H26" s="8" t="str">
        <x:f>IF(A26="","",IF(F26&lt;=30,"Escalate now",IF(F26&lt;=90,"Prepare renewal decision","Monitor")))</x:f>
      </x:c>
    </x:row>
    <x:row r="27">
      <x:c r="A27" s="8" t="str">
        <x:f>IF('Contract Register'!A27="","",'Contract Register'!A27)</x:f>
      </x:c>
      <x:c r="B27" s="8" t="str">
        <x:f>IF('Contract Register'!A27="","",'Contract Register'!B27)</x:f>
      </x:c>
      <x:c r="C27" s="8" t="str">
        <x:f>IF('Contract Register'!A27="","",'Contract Register'!D27)</x:f>
      </x:c>
      <x:c r="D27" s="12" t="str">
        <x:f>IF('Contract Register'!A27="","",'Contract Register'!I27)</x:f>
      </x:c>
      <x:c r="E27" s="12" t="str">
        <x:f>IF('Contract Register'!A27="","",'Contract Register'!J27)</x:f>
      </x:c>
      <x:c r="F27" s="13" t="str">
        <x:f>IF('Contract Register'!A27="","",'Contract Register'!K27)</x:f>
      </x:c>
      <x:c r="G27" s="8" t="str">
        <x:f>IF('Contract Register'!A27="","",'Contract Register'!L27)</x:f>
      </x:c>
      <x:c r="H27" s="8" t="str">
        <x:f>IF(A27="","",IF(F27&lt;=30,"Escalate now",IF(F27&lt;=90,"Prepare renewal decision","Monitor")))</x:f>
      </x:c>
    </x:row>
    <x:row r="28">
      <x:c r="A28" s="8" t="str">
        <x:f>IF('Contract Register'!A28="","",'Contract Register'!A28)</x:f>
      </x:c>
      <x:c r="B28" s="8" t="str">
        <x:f>IF('Contract Register'!A28="","",'Contract Register'!B28)</x:f>
      </x:c>
      <x:c r="C28" s="8" t="str">
        <x:f>IF('Contract Register'!A28="","",'Contract Register'!D28)</x:f>
      </x:c>
      <x:c r="D28" s="12" t="str">
        <x:f>IF('Contract Register'!A28="","",'Contract Register'!I28)</x:f>
      </x:c>
      <x:c r="E28" s="12" t="str">
        <x:f>IF('Contract Register'!A28="","",'Contract Register'!J28)</x:f>
      </x:c>
      <x:c r="F28" s="13" t="str">
        <x:f>IF('Contract Register'!A28="","",'Contract Register'!K28)</x:f>
      </x:c>
      <x:c r="G28" s="8" t="str">
        <x:f>IF('Contract Register'!A28="","",'Contract Register'!L28)</x:f>
      </x:c>
      <x:c r="H28" s="8" t="str">
        <x:f>IF(A28="","",IF(F28&lt;=30,"Escalate now",IF(F28&lt;=90,"Prepare renewal decision","Monitor")))</x:f>
      </x:c>
    </x:row>
    <x:row r="29">
      <x:c r="A29" s="8" t="str">
        <x:f>IF('Contract Register'!A29="","",'Contract Register'!A29)</x:f>
      </x:c>
      <x:c r="B29" s="8" t="str">
        <x:f>IF('Contract Register'!A29="","",'Contract Register'!B29)</x:f>
      </x:c>
      <x:c r="C29" s="8" t="str">
        <x:f>IF('Contract Register'!A29="","",'Contract Register'!D29)</x:f>
      </x:c>
      <x:c r="D29" s="12" t="str">
        <x:f>IF('Contract Register'!A29="","",'Contract Register'!I29)</x:f>
      </x:c>
      <x:c r="E29" s="12" t="str">
        <x:f>IF('Contract Register'!A29="","",'Contract Register'!J29)</x:f>
      </x:c>
      <x:c r="F29" s="13" t="str">
        <x:f>IF('Contract Register'!A29="","",'Contract Register'!K29)</x:f>
      </x:c>
      <x:c r="G29" s="8" t="str">
        <x:f>IF('Contract Register'!A29="","",'Contract Register'!L29)</x:f>
      </x:c>
      <x:c r="H29" s="8" t="str">
        <x:f>IF(A29="","",IF(F29&lt;=30,"Escalate now",IF(F29&lt;=90,"Prepare renewal decision","Monitor")))</x:f>
      </x:c>
    </x:row>
    <x:row r="30">
      <x:c r="A30" s="8" t="str">
        <x:f>IF('Contract Register'!A30="","",'Contract Register'!A30)</x:f>
      </x:c>
      <x:c r="B30" s="8" t="str">
        <x:f>IF('Contract Register'!A30="","",'Contract Register'!B30)</x:f>
      </x:c>
      <x:c r="C30" s="8" t="str">
        <x:f>IF('Contract Register'!A30="","",'Contract Register'!D30)</x:f>
      </x:c>
      <x:c r="D30" s="12" t="str">
        <x:f>IF('Contract Register'!A30="","",'Contract Register'!I30)</x:f>
      </x:c>
      <x:c r="E30" s="12" t="str">
        <x:f>IF('Contract Register'!A30="","",'Contract Register'!J30)</x:f>
      </x:c>
      <x:c r="F30" s="13" t="str">
        <x:f>IF('Contract Register'!A30="","",'Contract Register'!K30)</x:f>
      </x:c>
      <x:c r="G30" s="8" t="str">
        <x:f>IF('Contract Register'!A30="","",'Contract Register'!L30)</x:f>
      </x:c>
      <x:c r="H30" s="8" t="str">
        <x:f>IF(A30="","",IF(F30&lt;=30,"Escalate now",IF(F30&lt;=90,"Prepare renewal decision","Monitor")))</x:f>
      </x:c>
    </x:row>
    <x:row r="31">
      <x:c r="A31" s="8" t="str">
        <x:f>IF('Contract Register'!A31="","",'Contract Register'!A31)</x:f>
      </x:c>
      <x:c r="B31" s="8" t="str">
        <x:f>IF('Contract Register'!A31="","",'Contract Register'!B31)</x:f>
      </x:c>
      <x:c r="C31" s="8" t="str">
        <x:f>IF('Contract Register'!A31="","",'Contract Register'!D31)</x:f>
      </x:c>
      <x:c r="D31" s="12" t="str">
        <x:f>IF('Contract Register'!A31="","",'Contract Register'!I31)</x:f>
      </x:c>
      <x:c r="E31" s="12" t="str">
        <x:f>IF('Contract Register'!A31="","",'Contract Register'!J31)</x:f>
      </x:c>
      <x:c r="F31" s="13" t="str">
        <x:f>IF('Contract Register'!A31="","",'Contract Register'!K31)</x:f>
      </x:c>
      <x:c r="G31" s="8" t="str">
        <x:f>IF('Contract Register'!A31="","",'Contract Register'!L31)</x:f>
      </x:c>
      <x:c r="H31" s="8" t="str">
        <x:f>IF(A31="","",IF(F31&lt;=30,"Escalate now",IF(F31&lt;=90,"Prepare renewal decision","Monitor")))</x:f>
      </x:c>
    </x:row>
    <x:row r="32">
      <x:c r="A32" s="8" t="str">
        <x:f>IF('Contract Register'!A32="","",'Contract Register'!A32)</x:f>
      </x:c>
      <x:c r="B32" s="8" t="str">
        <x:f>IF('Contract Register'!A32="","",'Contract Register'!B32)</x:f>
      </x:c>
      <x:c r="C32" s="8" t="str">
        <x:f>IF('Contract Register'!A32="","",'Contract Register'!D32)</x:f>
      </x:c>
      <x:c r="D32" s="12" t="str">
        <x:f>IF('Contract Register'!A32="","",'Contract Register'!I32)</x:f>
      </x:c>
      <x:c r="E32" s="12" t="str">
        <x:f>IF('Contract Register'!A32="","",'Contract Register'!J32)</x:f>
      </x:c>
      <x:c r="F32" s="13" t="str">
        <x:f>IF('Contract Register'!A32="","",'Contract Register'!K32)</x:f>
      </x:c>
      <x:c r="G32" s="8" t="str">
        <x:f>IF('Contract Register'!A32="","",'Contract Register'!L32)</x:f>
      </x:c>
      <x:c r="H32" s="8" t="str">
        <x:f>IF(A32="","",IF(F32&lt;=30,"Escalate now",IF(F32&lt;=90,"Prepare renewal decision","Monitor")))</x:f>
      </x:c>
    </x:row>
    <x:row r="33">
      <x:c r="A33" s="8" t="str">
        <x:f>IF('Contract Register'!A33="","",'Contract Register'!A33)</x:f>
      </x:c>
      <x:c r="B33" s="8" t="str">
        <x:f>IF('Contract Register'!A33="","",'Contract Register'!B33)</x:f>
      </x:c>
      <x:c r="C33" s="8" t="str">
        <x:f>IF('Contract Register'!A33="","",'Contract Register'!D33)</x:f>
      </x:c>
      <x:c r="D33" s="12" t="str">
        <x:f>IF('Contract Register'!A33="","",'Contract Register'!I33)</x:f>
      </x:c>
      <x:c r="E33" s="12" t="str">
        <x:f>IF('Contract Register'!A33="","",'Contract Register'!J33)</x:f>
      </x:c>
      <x:c r="F33" s="13" t="str">
        <x:f>IF('Contract Register'!A33="","",'Contract Register'!K33)</x:f>
      </x:c>
      <x:c r="G33" s="8" t="str">
        <x:f>IF('Contract Register'!A33="","",'Contract Register'!L33)</x:f>
      </x:c>
      <x:c r="H33" s="8" t="str">
        <x:f>IF(A33="","",IF(F33&lt;=30,"Escalate now",IF(F33&lt;=90,"Prepare renewal decision","Monitor")))</x:f>
      </x:c>
    </x:row>
    <x:row r="34">
      <x:c r="A34" s="8" t="str">
        <x:f>IF('Contract Register'!A34="","",'Contract Register'!A34)</x:f>
      </x:c>
      <x:c r="B34" s="8" t="str">
        <x:f>IF('Contract Register'!A34="","",'Contract Register'!B34)</x:f>
      </x:c>
      <x:c r="C34" s="8" t="str">
        <x:f>IF('Contract Register'!A34="","",'Contract Register'!D34)</x:f>
      </x:c>
      <x:c r="D34" s="12" t="str">
        <x:f>IF('Contract Register'!A34="","",'Contract Register'!I34)</x:f>
      </x:c>
      <x:c r="E34" s="12" t="str">
        <x:f>IF('Contract Register'!A34="","",'Contract Register'!J34)</x:f>
      </x:c>
      <x:c r="F34" s="13" t="str">
        <x:f>IF('Contract Register'!A34="","",'Contract Register'!K34)</x:f>
      </x:c>
      <x:c r="G34" s="8" t="str">
        <x:f>IF('Contract Register'!A34="","",'Contract Register'!L34)</x:f>
      </x:c>
      <x:c r="H34" s="8" t="str">
        <x:f>IF(A34="","",IF(F34&lt;=30,"Escalate now",IF(F34&lt;=90,"Prepare renewal decision","Monitor")))</x:f>
      </x:c>
    </x:row>
    <x:row r="35">
      <x:c r="A35" s="8" t="str">
        <x:f>IF('Contract Register'!A35="","",'Contract Register'!A35)</x:f>
      </x:c>
      <x:c r="B35" s="8" t="str">
        <x:f>IF('Contract Register'!A35="","",'Contract Register'!B35)</x:f>
      </x:c>
      <x:c r="C35" s="8" t="str">
        <x:f>IF('Contract Register'!A35="","",'Contract Register'!D35)</x:f>
      </x:c>
      <x:c r="D35" s="12" t="str">
        <x:f>IF('Contract Register'!A35="","",'Contract Register'!I35)</x:f>
      </x:c>
      <x:c r="E35" s="12" t="str">
        <x:f>IF('Contract Register'!A35="","",'Contract Register'!J35)</x:f>
      </x:c>
      <x:c r="F35" s="13" t="str">
        <x:f>IF('Contract Register'!A35="","",'Contract Register'!K35)</x:f>
      </x:c>
      <x:c r="G35" s="8" t="str">
        <x:f>IF('Contract Register'!A35="","",'Contract Register'!L35)</x:f>
      </x:c>
      <x:c r="H35" s="8" t="str">
        <x:f>IF(A35="","",IF(F35&lt;=30,"Escalate now",IF(F35&lt;=90,"Prepare renewal decision","Monitor")))</x:f>
      </x:c>
    </x:row>
    <x:row r="36">
      <x:c r="A36" s="8" t="str">
        <x:f>IF('Contract Register'!A36="","",'Contract Register'!A36)</x:f>
      </x:c>
      <x:c r="B36" s="8" t="str">
        <x:f>IF('Contract Register'!A36="","",'Contract Register'!B36)</x:f>
      </x:c>
      <x:c r="C36" s="8" t="str">
        <x:f>IF('Contract Register'!A36="","",'Contract Register'!D36)</x:f>
      </x:c>
      <x:c r="D36" s="12" t="str">
        <x:f>IF('Contract Register'!A36="","",'Contract Register'!I36)</x:f>
      </x:c>
      <x:c r="E36" s="12" t="str">
        <x:f>IF('Contract Register'!A36="","",'Contract Register'!J36)</x:f>
      </x:c>
      <x:c r="F36" s="13" t="str">
        <x:f>IF('Contract Register'!A36="","",'Contract Register'!K36)</x:f>
      </x:c>
      <x:c r="G36" s="8" t="str">
        <x:f>IF('Contract Register'!A36="","",'Contract Register'!L36)</x:f>
      </x:c>
      <x:c r="H36" s="8" t="str">
        <x:f>IF(A36="","",IF(F36&lt;=30,"Escalate now",IF(F36&lt;=90,"Prepare renewal decision","Monitor")))</x:f>
      </x:c>
    </x:row>
    <x:row r="37">
      <x:c r="A37" s="8" t="str">
        <x:f>IF('Contract Register'!A37="","",'Contract Register'!A37)</x:f>
      </x:c>
      <x:c r="B37" s="8" t="str">
        <x:f>IF('Contract Register'!A37="","",'Contract Register'!B37)</x:f>
      </x:c>
      <x:c r="C37" s="8" t="str">
        <x:f>IF('Contract Register'!A37="","",'Contract Register'!D37)</x:f>
      </x:c>
      <x:c r="D37" s="12" t="str">
        <x:f>IF('Contract Register'!A37="","",'Contract Register'!I37)</x:f>
      </x:c>
      <x:c r="E37" s="12" t="str">
        <x:f>IF('Contract Register'!A37="","",'Contract Register'!J37)</x:f>
      </x:c>
      <x:c r="F37" s="13" t="str">
        <x:f>IF('Contract Register'!A37="","",'Contract Register'!K37)</x:f>
      </x:c>
      <x:c r="G37" s="8" t="str">
        <x:f>IF('Contract Register'!A37="","",'Contract Register'!L37)</x:f>
      </x:c>
      <x:c r="H37" s="8" t="str">
        <x:f>IF(A37="","",IF(F37&lt;=30,"Escalate now",IF(F37&lt;=90,"Prepare renewal decision","Monitor")))</x:f>
      </x:c>
    </x:row>
    <x:row r="38">
      <x:c r="A38" s="8" t="str">
        <x:f>IF('Contract Register'!A38="","",'Contract Register'!A38)</x:f>
      </x:c>
      <x:c r="B38" s="8" t="str">
        <x:f>IF('Contract Register'!A38="","",'Contract Register'!B38)</x:f>
      </x:c>
      <x:c r="C38" s="8" t="str">
        <x:f>IF('Contract Register'!A38="","",'Contract Register'!D38)</x:f>
      </x:c>
      <x:c r="D38" s="12" t="str">
        <x:f>IF('Contract Register'!A38="","",'Contract Register'!I38)</x:f>
      </x:c>
      <x:c r="E38" s="12" t="str">
        <x:f>IF('Contract Register'!A38="","",'Contract Register'!J38)</x:f>
      </x:c>
      <x:c r="F38" s="13" t="str">
        <x:f>IF('Contract Register'!A38="","",'Contract Register'!K38)</x:f>
      </x:c>
      <x:c r="G38" s="8" t="str">
        <x:f>IF('Contract Register'!A38="","",'Contract Register'!L38)</x:f>
      </x:c>
      <x:c r="H38" s="8" t="str">
        <x:f>IF(A38="","",IF(F38&lt;=30,"Escalate now",IF(F38&lt;=90,"Prepare renewal decision","Monitor")))</x:f>
      </x:c>
    </x:row>
    <x:row r="39">
      <x:c r="A39" s="8" t="str">
        <x:f>IF('Contract Register'!A39="","",'Contract Register'!A39)</x:f>
      </x:c>
      <x:c r="B39" s="8" t="str">
        <x:f>IF('Contract Register'!A39="","",'Contract Register'!B39)</x:f>
      </x:c>
      <x:c r="C39" s="8" t="str">
        <x:f>IF('Contract Register'!A39="","",'Contract Register'!D39)</x:f>
      </x:c>
      <x:c r="D39" s="12" t="str">
        <x:f>IF('Contract Register'!A39="","",'Contract Register'!I39)</x:f>
      </x:c>
      <x:c r="E39" s="12" t="str">
        <x:f>IF('Contract Register'!A39="","",'Contract Register'!J39)</x:f>
      </x:c>
      <x:c r="F39" s="13" t="str">
        <x:f>IF('Contract Register'!A39="","",'Contract Register'!K39)</x:f>
      </x:c>
      <x:c r="G39" s="8" t="str">
        <x:f>IF('Contract Register'!A39="","",'Contract Register'!L39)</x:f>
      </x:c>
      <x:c r="H39" s="8" t="str">
        <x:f>IF(A39="","",IF(F39&lt;=30,"Escalate now",IF(F39&lt;=90,"Prepare renewal decision","Monitor")))</x:f>
      </x:c>
    </x:row>
    <x:row r="40">
      <x:c r="A40" s="8" t="str">
        <x:f>IF('Contract Register'!A40="","",'Contract Register'!A40)</x:f>
      </x:c>
      <x:c r="B40" s="8" t="str">
        <x:f>IF('Contract Register'!A40="","",'Contract Register'!B40)</x:f>
      </x:c>
      <x:c r="C40" s="8" t="str">
        <x:f>IF('Contract Register'!A40="","",'Contract Register'!D40)</x:f>
      </x:c>
      <x:c r="D40" s="12" t="str">
        <x:f>IF('Contract Register'!A40="","",'Contract Register'!I40)</x:f>
      </x:c>
      <x:c r="E40" s="12" t="str">
        <x:f>IF('Contract Register'!A40="","",'Contract Register'!J40)</x:f>
      </x:c>
      <x:c r="F40" s="13" t="str">
        <x:f>IF('Contract Register'!A40="","",'Contract Register'!K40)</x:f>
      </x:c>
      <x:c r="G40" s="8" t="str">
        <x:f>IF('Contract Register'!A40="","",'Contract Register'!L40)</x:f>
      </x:c>
      <x:c r="H40" s="8" t="str">
        <x:f>IF(A40="","",IF(F40&lt;=30,"Escalate now",IF(F40&lt;=90,"Prepare renewal decision","Monitor")))</x:f>
      </x:c>
    </x:row>
    <x:row r="41">
      <x:c r="A41" s="8" t="str">
        <x:f>IF('Contract Register'!A41="","",'Contract Register'!A41)</x:f>
      </x:c>
      <x:c r="B41" s="8" t="str">
        <x:f>IF('Contract Register'!A41="","",'Contract Register'!B41)</x:f>
      </x:c>
      <x:c r="C41" s="8" t="str">
        <x:f>IF('Contract Register'!A41="","",'Contract Register'!D41)</x:f>
      </x:c>
      <x:c r="D41" s="12" t="str">
        <x:f>IF('Contract Register'!A41="","",'Contract Register'!I41)</x:f>
      </x:c>
      <x:c r="E41" s="12" t="str">
        <x:f>IF('Contract Register'!A41="","",'Contract Register'!J41)</x:f>
      </x:c>
      <x:c r="F41" s="13" t="str">
        <x:f>IF('Contract Register'!A41="","",'Contract Register'!K41)</x:f>
      </x:c>
      <x:c r="G41" s="8" t="str">
        <x:f>IF('Contract Register'!A41="","",'Contract Register'!L41)</x:f>
      </x:c>
      <x:c r="H41" s="8" t="str">
        <x:f>IF(A41="","",IF(F41&lt;=30,"Escalate now",IF(F41&lt;=90,"Prepare renewal decision","Monitor")))</x:f>
      </x:c>
    </x:row>
    <x:row r="42">
      <x:c r="A42" s="8" t="str">
        <x:f>IF('Contract Register'!A42="","",'Contract Register'!A42)</x:f>
      </x:c>
      <x:c r="B42" s="8" t="str">
        <x:f>IF('Contract Register'!A42="","",'Contract Register'!B42)</x:f>
      </x:c>
      <x:c r="C42" s="8" t="str">
        <x:f>IF('Contract Register'!A42="","",'Contract Register'!D42)</x:f>
      </x:c>
      <x:c r="D42" s="12" t="str">
        <x:f>IF('Contract Register'!A42="","",'Contract Register'!I42)</x:f>
      </x:c>
      <x:c r="E42" s="12" t="str">
        <x:f>IF('Contract Register'!A42="","",'Contract Register'!J42)</x:f>
      </x:c>
      <x:c r="F42" s="13" t="str">
        <x:f>IF('Contract Register'!A42="","",'Contract Register'!K42)</x:f>
      </x:c>
      <x:c r="G42" s="8" t="str">
        <x:f>IF('Contract Register'!A42="","",'Contract Register'!L42)</x:f>
      </x:c>
      <x:c r="H42" s="8" t="str">
        <x:f>IF(A42="","",IF(F42&lt;=30,"Escalate now",IF(F42&lt;=90,"Prepare renewal decision","Monitor")))</x:f>
      </x:c>
    </x:row>
    <x:row r="43">
      <x:c r="A43" s="8" t="str">
        <x:f>IF('Contract Register'!A43="","",'Contract Register'!A43)</x:f>
      </x:c>
      <x:c r="B43" s="8" t="str">
        <x:f>IF('Contract Register'!A43="","",'Contract Register'!B43)</x:f>
      </x:c>
      <x:c r="C43" s="8" t="str">
        <x:f>IF('Contract Register'!A43="","",'Contract Register'!D43)</x:f>
      </x:c>
      <x:c r="D43" s="12" t="str">
        <x:f>IF('Contract Register'!A43="","",'Contract Register'!I43)</x:f>
      </x:c>
      <x:c r="E43" s="12" t="str">
        <x:f>IF('Contract Register'!A43="","",'Contract Register'!J43)</x:f>
      </x:c>
      <x:c r="F43" s="13" t="str">
        <x:f>IF('Contract Register'!A43="","",'Contract Register'!K43)</x:f>
      </x:c>
      <x:c r="G43" s="8" t="str">
        <x:f>IF('Contract Register'!A43="","",'Contract Register'!L43)</x:f>
      </x:c>
      <x:c r="H43" s="8" t="str">
        <x:f>IF(A43="","",IF(F43&lt;=30,"Escalate now",IF(F43&lt;=90,"Prepare renewal decision","Monitor")))</x:f>
      </x:c>
    </x:row>
    <x:row r="44">
      <x:c r="A44" s="8" t="str">
        <x:f>IF('Contract Register'!A44="","",'Contract Register'!A44)</x:f>
      </x:c>
      <x:c r="B44" s="8" t="str">
        <x:f>IF('Contract Register'!A44="","",'Contract Register'!B44)</x:f>
      </x:c>
      <x:c r="C44" s="8" t="str">
        <x:f>IF('Contract Register'!A44="","",'Contract Register'!D44)</x:f>
      </x:c>
      <x:c r="D44" s="12" t="str">
        <x:f>IF('Contract Register'!A44="","",'Contract Register'!I44)</x:f>
      </x:c>
      <x:c r="E44" s="12" t="str">
        <x:f>IF('Contract Register'!A44="","",'Contract Register'!J44)</x:f>
      </x:c>
      <x:c r="F44" s="13" t="str">
        <x:f>IF('Contract Register'!A44="","",'Contract Register'!K44)</x:f>
      </x:c>
      <x:c r="G44" s="8" t="str">
        <x:f>IF('Contract Register'!A44="","",'Contract Register'!L44)</x:f>
      </x:c>
      <x:c r="H44" s="8" t="str">
        <x:f>IF(A44="","",IF(F44&lt;=30,"Escalate now",IF(F44&lt;=90,"Prepare renewal decision","Monitor")))</x:f>
      </x:c>
    </x:row>
    <x:row r="45">
      <x:c r="A45" s="8" t="str">
        <x:f>IF('Contract Register'!A45="","",'Contract Register'!A45)</x:f>
      </x:c>
      <x:c r="B45" s="8" t="str">
        <x:f>IF('Contract Register'!A45="","",'Contract Register'!B45)</x:f>
      </x:c>
      <x:c r="C45" s="8" t="str">
        <x:f>IF('Contract Register'!A45="","",'Contract Register'!D45)</x:f>
      </x:c>
      <x:c r="D45" s="12" t="str">
        <x:f>IF('Contract Register'!A45="","",'Contract Register'!I45)</x:f>
      </x:c>
      <x:c r="E45" s="12" t="str">
        <x:f>IF('Contract Register'!A45="","",'Contract Register'!J45)</x:f>
      </x:c>
      <x:c r="F45" s="13" t="str">
        <x:f>IF('Contract Register'!A45="","",'Contract Register'!K45)</x:f>
      </x:c>
      <x:c r="G45" s="8" t="str">
        <x:f>IF('Contract Register'!A45="","",'Contract Register'!L45)</x:f>
      </x:c>
      <x:c r="H45" s="8" t="str">
        <x:f>IF(A45="","",IF(F45&lt;=30,"Escalate now",IF(F45&lt;=90,"Prepare renewal decision","Monitor")))</x:f>
      </x:c>
    </x:row>
    <x:row r="46">
      <x:c r="A46" s="8" t="str">
        <x:f>IF('Contract Register'!A46="","",'Contract Register'!A46)</x:f>
      </x:c>
      <x:c r="B46" s="8" t="str">
        <x:f>IF('Contract Register'!A46="","",'Contract Register'!B46)</x:f>
      </x:c>
      <x:c r="C46" s="8" t="str">
        <x:f>IF('Contract Register'!A46="","",'Contract Register'!D46)</x:f>
      </x:c>
      <x:c r="D46" s="12" t="str">
        <x:f>IF('Contract Register'!A46="","",'Contract Register'!I46)</x:f>
      </x:c>
      <x:c r="E46" s="12" t="str">
        <x:f>IF('Contract Register'!A46="","",'Contract Register'!J46)</x:f>
      </x:c>
      <x:c r="F46" s="13" t="str">
        <x:f>IF('Contract Register'!A46="","",'Contract Register'!K46)</x:f>
      </x:c>
      <x:c r="G46" s="8" t="str">
        <x:f>IF('Contract Register'!A46="","",'Contract Register'!L46)</x:f>
      </x:c>
      <x:c r="H46" s="8" t="str">
        <x:f>IF(A46="","",IF(F46&lt;=30,"Escalate now",IF(F46&lt;=90,"Prepare renewal decision","Monitor")))</x:f>
      </x:c>
    </x:row>
    <x:row r="47">
      <x:c r="A47" s="8" t="str">
        <x:f>IF('Contract Register'!A47="","",'Contract Register'!A47)</x:f>
      </x:c>
      <x:c r="B47" s="8" t="str">
        <x:f>IF('Contract Register'!A47="","",'Contract Register'!B47)</x:f>
      </x:c>
      <x:c r="C47" s="8" t="str">
        <x:f>IF('Contract Register'!A47="","",'Contract Register'!D47)</x:f>
      </x:c>
      <x:c r="D47" s="12" t="str">
        <x:f>IF('Contract Register'!A47="","",'Contract Register'!I47)</x:f>
      </x:c>
      <x:c r="E47" s="12" t="str">
        <x:f>IF('Contract Register'!A47="","",'Contract Register'!J47)</x:f>
      </x:c>
      <x:c r="F47" s="13" t="str">
        <x:f>IF('Contract Register'!A47="","",'Contract Register'!K47)</x:f>
      </x:c>
      <x:c r="G47" s="8" t="str">
        <x:f>IF('Contract Register'!A47="","",'Contract Register'!L47)</x:f>
      </x:c>
      <x:c r="H47" s="8" t="str">
        <x:f>IF(A47="","",IF(F47&lt;=30,"Escalate now",IF(F47&lt;=90,"Prepare renewal decision","Monitor")))</x:f>
      </x:c>
    </x:row>
    <x:row r="48">
      <x:c r="A48" s="8" t="str">
        <x:f>IF('Contract Register'!A48="","",'Contract Register'!A48)</x:f>
      </x:c>
      <x:c r="B48" s="8" t="str">
        <x:f>IF('Contract Register'!A48="","",'Contract Register'!B48)</x:f>
      </x:c>
      <x:c r="C48" s="8" t="str">
        <x:f>IF('Contract Register'!A48="","",'Contract Register'!D48)</x:f>
      </x:c>
      <x:c r="D48" s="12" t="str">
        <x:f>IF('Contract Register'!A48="","",'Contract Register'!I48)</x:f>
      </x:c>
      <x:c r="E48" s="12" t="str">
        <x:f>IF('Contract Register'!A48="","",'Contract Register'!J48)</x:f>
      </x:c>
      <x:c r="F48" s="13" t="str">
        <x:f>IF('Contract Register'!A48="","",'Contract Register'!K48)</x:f>
      </x:c>
      <x:c r="G48" s="8" t="str">
        <x:f>IF('Contract Register'!A48="","",'Contract Register'!L48)</x:f>
      </x:c>
      <x:c r="H48" s="8" t="str">
        <x:f>IF(A48="","",IF(F48&lt;=30,"Escalate now",IF(F48&lt;=90,"Prepare renewal decision","Monitor")))</x:f>
      </x:c>
    </x:row>
    <x:row r="49">
      <x:c r="A49" s="8" t="str">
        <x:f>IF('Contract Register'!A49="","",'Contract Register'!A49)</x:f>
      </x:c>
      <x:c r="B49" s="8" t="str">
        <x:f>IF('Contract Register'!A49="","",'Contract Register'!B49)</x:f>
      </x:c>
      <x:c r="C49" s="8" t="str">
        <x:f>IF('Contract Register'!A49="","",'Contract Register'!D49)</x:f>
      </x:c>
      <x:c r="D49" s="12" t="str">
        <x:f>IF('Contract Register'!A49="","",'Contract Register'!I49)</x:f>
      </x:c>
      <x:c r="E49" s="12" t="str">
        <x:f>IF('Contract Register'!A49="","",'Contract Register'!J49)</x:f>
      </x:c>
      <x:c r="F49" s="13" t="str">
        <x:f>IF('Contract Register'!A49="","",'Contract Register'!K49)</x:f>
      </x:c>
      <x:c r="G49" s="8" t="str">
        <x:f>IF('Contract Register'!A49="","",'Contract Register'!L49)</x:f>
      </x:c>
      <x:c r="H49" s="8" t="str">
        <x:f>IF(A49="","",IF(F49&lt;=30,"Escalate now",IF(F49&lt;=90,"Prepare renewal decision","Monitor")))</x:f>
      </x:c>
    </x:row>
    <x:row r="50">
      <x:c r="A50" s="8" t="str">
        <x:f>IF('Contract Register'!A50="","",'Contract Register'!A50)</x:f>
      </x:c>
      <x:c r="B50" s="8" t="str">
        <x:f>IF('Contract Register'!A50="","",'Contract Register'!B50)</x:f>
      </x:c>
      <x:c r="C50" s="8" t="str">
        <x:f>IF('Contract Register'!A50="","",'Contract Register'!D50)</x:f>
      </x:c>
      <x:c r="D50" s="12" t="str">
        <x:f>IF('Contract Register'!A50="","",'Contract Register'!I50)</x:f>
      </x:c>
      <x:c r="E50" s="12" t="str">
        <x:f>IF('Contract Register'!A50="","",'Contract Register'!J50)</x:f>
      </x:c>
      <x:c r="F50" s="13" t="str">
        <x:f>IF('Contract Register'!A50="","",'Contract Register'!K50)</x:f>
      </x:c>
      <x:c r="G50" s="8" t="str">
        <x:f>IF('Contract Register'!A50="","",'Contract Register'!L50)</x:f>
      </x:c>
      <x:c r="H50" s="8" t="str">
        <x:f>IF(A50="","",IF(F50&lt;=30,"Escalate now",IF(F50&lt;=90,"Prepare renewal decision","Monitor")))</x:f>
      </x:c>
    </x:row>
    <x:row r="51">
      <x:c r="A51" s="8" t="str">
        <x:f>IF('Contract Register'!A51="","",'Contract Register'!A51)</x:f>
      </x:c>
      <x:c r="B51" s="8" t="str">
        <x:f>IF('Contract Register'!A51="","",'Contract Register'!B51)</x:f>
      </x:c>
      <x:c r="C51" s="8" t="str">
        <x:f>IF('Contract Register'!A51="","",'Contract Register'!D51)</x:f>
      </x:c>
      <x:c r="D51" s="12" t="str">
        <x:f>IF('Contract Register'!A51="","",'Contract Register'!I51)</x:f>
      </x:c>
      <x:c r="E51" s="12" t="str">
        <x:f>IF('Contract Register'!A51="","",'Contract Register'!J51)</x:f>
      </x:c>
      <x:c r="F51" s="13" t="str">
        <x:f>IF('Contract Register'!A51="","",'Contract Register'!K51)</x:f>
      </x:c>
      <x:c r="G51" s="8" t="str">
        <x:f>IF('Contract Register'!A51="","",'Contract Register'!L51)</x:f>
      </x:c>
      <x:c r="H51" s="8" t="str">
        <x:f>IF(A51="","",IF(F51&lt;=30,"Escalate now",IF(F51&lt;=90,"Prepare renewal decision","Monitor")))</x:f>
      </x:c>
    </x:row>
    <x:row r="52">
      <x:c r="A52" s="8" t="str">
        <x:f>IF('Contract Register'!A52="","",'Contract Register'!A52)</x:f>
      </x:c>
      <x:c r="B52" s="8" t="str">
        <x:f>IF('Contract Register'!A52="","",'Contract Register'!B52)</x:f>
      </x:c>
      <x:c r="C52" s="8" t="str">
        <x:f>IF('Contract Register'!A52="","",'Contract Register'!D52)</x:f>
      </x:c>
      <x:c r="D52" s="12" t="str">
        <x:f>IF('Contract Register'!A52="","",'Contract Register'!I52)</x:f>
      </x:c>
      <x:c r="E52" s="12" t="str">
        <x:f>IF('Contract Register'!A52="","",'Contract Register'!J52)</x:f>
      </x:c>
      <x:c r="F52" s="13" t="str">
        <x:f>IF('Contract Register'!A52="","",'Contract Register'!K52)</x:f>
      </x:c>
      <x:c r="G52" s="8" t="str">
        <x:f>IF('Contract Register'!A52="","",'Contract Register'!L52)</x:f>
      </x:c>
      <x:c r="H52" s="8" t="str">
        <x:f>IF(A52="","",IF(F52&lt;=30,"Escalate now",IF(F52&lt;=90,"Prepare renewal decision","Monitor")))</x:f>
      </x:c>
    </x:row>
    <x:row r="53">
      <x:c r="A53" s="8" t="str">
        <x:f>IF('Contract Register'!A53="","",'Contract Register'!A53)</x:f>
      </x:c>
      <x:c r="B53" s="8" t="str">
        <x:f>IF('Contract Register'!A53="","",'Contract Register'!B53)</x:f>
      </x:c>
      <x:c r="C53" s="8" t="str">
        <x:f>IF('Contract Register'!A53="","",'Contract Register'!D53)</x:f>
      </x:c>
      <x:c r="D53" s="12" t="str">
        <x:f>IF('Contract Register'!A53="","",'Contract Register'!I53)</x:f>
      </x:c>
      <x:c r="E53" s="12" t="str">
        <x:f>IF('Contract Register'!A53="","",'Contract Register'!J53)</x:f>
      </x:c>
      <x:c r="F53" s="13" t="str">
        <x:f>IF('Contract Register'!A53="","",'Contract Register'!K53)</x:f>
      </x:c>
      <x:c r="G53" s="8" t="str">
        <x:f>IF('Contract Register'!A53="","",'Contract Register'!L53)</x:f>
      </x:c>
      <x:c r="H53" s="8" t="str">
        <x:f>IF(A53="","",IF(F53&lt;=30,"Escalate now",IF(F53&lt;=90,"Prepare renewal decision","Monitor")))</x:f>
      </x:c>
    </x:row>
    <x:row r="54">
      <x:c r="A54" s="8" t="str">
        <x:f>IF('Contract Register'!A54="","",'Contract Register'!A54)</x:f>
      </x:c>
      <x:c r="B54" s="8" t="str">
        <x:f>IF('Contract Register'!A54="","",'Contract Register'!B54)</x:f>
      </x:c>
      <x:c r="C54" s="8" t="str">
        <x:f>IF('Contract Register'!A54="","",'Contract Register'!D54)</x:f>
      </x:c>
      <x:c r="D54" s="12" t="str">
        <x:f>IF('Contract Register'!A54="","",'Contract Register'!I54)</x:f>
      </x:c>
      <x:c r="E54" s="12" t="str">
        <x:f>IF('Contract Register'!A54="","",'Contract Register'!J54)</x:f>
      </x:c>
      <x:c r="F54" s="13" t="str">
        <x:f>IF('Contract Register'!A54="","",'Contract Register'!K54)</x:f>
      </x:c>
      <x:c r="G54" s="8" t="str">
        <x:f>IF('Contract Register'!A54="","",'Contract Register'!L54)</x:f>
      </x:c>
      <x:c r="H54" s="8" t="str">
        <x:f>IF(A54="","",IF(F54&lt;=30,"Escalate now",IF(F54&lt;=90,"Prepare renewal decision","Monitor")))</x:f>
      </x:c>
    </x:row>
    <x:row r="55">
      <x:c r="A55" s="8" t="str">
        <x:f>IF('Contract Register'!A55="","",'Contract Register'!A55)</x:f>
      </x:c>
      <x:c r="B55" s="8" t="str">
        <x:f>IF('Contract Register'!A55="","",'Contract Register'!B55)</x:f>
      </x:c>
      <x:c r="C55" s="8" t="str">
        <x:f>IF('Contract Register'!A55="","",'Contract Register'!D55)</x:f>
      </x:c>
      <x:c r="D55" s="12" t="str">
        <x:f>IF('Contract Register'!A55="","",'Contract Register'!I55)</x:f>
      </x:c>
      <x:c r="E55" s="12" t="str">
        <x:f>IF('Contract Register'!A55="","",'Contract Register'!J55)</x:f>
      </x:c>
      <x:c r="F55" s="13" t="str">
        <x:f>IF('Contract Register'!A55="","",'Contract Register'!K55)</x:f>
      </x:c>
      <x:c r="G55" s="8" t="str">
        <x:f>IF('Contract Register'!A55="","",'Contract Register'!L55)</x:f>
      </x:c>
      <x:c r="H55" s="8" t="str">
        <x:f>IF(A55="","",IF(F55&lt;=30,"Escalate now",IF(F55&lt;=90,"Prepare renewal decision","Monitor")))</x:f>
      </x:c>
    </x:row>
    <x:row r="56">
      <x:c r="A56" s="8" t="str">
        <x:f>IF('Contract Register'!A56="","",'Contract Register'!A56)</x:f>
      </x:c>
      <x:c r="B56" s="8" t="str">
        <x:f>IF('Contract Register'!A56="","",'Contract Register'!B56)</x:f>
      </x:c>
      <x:c r="C56" s="8" t="str">
        <x:f>IF('Contract Register'!A56="","",'Contract Register'!D56)</x:f>
      </x:c>
      <x:c r="D56" s="12" t="str">
        <x:f>IF('Contract Register'!A56="","",'Contract Register'!I56)</x:f>
      </x:c>
      <x:c r="E56" s="12" t="str">
        <x:f>IF('Contract Register'!A56="","",'Contract Register'!J56)</x:f>
      </x:c>
      <x:c r="F56" s="13" t="str">
        <x:f>IF('Contract Register'!A56="","",'Contract Register'!K56)</x:f>
      </x:c>
      <x:c r="G56" s="8" t="str">
        <x:f>IF('Contract Register'!A56="","",'Contract Register'!L56)</x:f>
      </x:c>
      <x:c r="H56" s="8" t="str">
        <x:f>IF(A56="","",IF(F56&lt;=30,"Escalate now",IF(F56&lt;=90,"Prepare renewal decision","Monitor")))</x:f>
      </x:c>
    </x:row>
    <x:row r="57">
      <x:c r="A57" s="8" t="str">
        <x:f>IF('Contract Register'!A57="","",'Contract Register'!A57)</x:f>
      </x:c>
      <x:c r="B57" s="8" t="str">
        <x:f>IF('Contract Register'!A57="","",'Contract Register'!B57)</x:f>
      </x:c>
      <x:c r="C57" s="8" t="str">
        <x:f>IF('Contract Register'!A57="","",'Contract Register'!D57)</x:f>
      </x:c>
      <x:c r="D57" s="12" t="str">
        <x:f>IF('Contract Register'!A57="","",'Contract Register'!I57)</x:f>
      </x:c>
      <x:c r="E57" s="12" t="str">
        <x:f>IF('Contract Register'!A57="","",'Contract Register'!J57)</x:f>
      </x:c>
      <x:c r="F57" s="13" t="str">
        <x:f>IF('Contract Register'!A57="","",'Contract Register'!K57)</x:f>
      </x:c>
      <x:c r="G57" s="8" t="str">
        <x:f>IF('Contract Register'!A57="","",'Contract Register'!L57)</x:f>
      </x:c>
      <x:c r="H57" s="8" t="str">
        <x:f>IF(A57="","",IF(F57&lt;=30,"Escalate now",IF(F57&lt;=90,"Prepare renewal decision","Monitor")))</x:f>
      </x:c>
    </x:row>
    <x:row r="58">
      <x:c r="A58" s="8" t="str">
        <x:f>IF('Contract Register'!A58="","",'Contract Register'!A58)</x:f>
      </x:c>
      <x:c r="B58" s="8" t="str">
        <x:f>IF('Contract Register'!A58="","",'Contract Register'!B58)</x:f>
      </x:c>
      <x:c r="C58" s="8" t="str">
        <x:f>IF('Contract Register'!A58="","",'Contract Register'!D58)</x:f>
      </x:c>
      <x:c r="D58" s="12" t="str">
        <x:f>IF('Contract Register'!A58="","",'Contract Register'!I58)</x:f>
      </x:c>
      <x:c r="E58" s="12" t="str">
        <x:f>IF('Contract Register'!A58="","",'Contract Register'!J58)</x:f>
      </x:c>
      <x:c r="F58" s="13" t="str">
        <x:f>IF('Contract Register'!A58="","",'Contract Register'!K58)</x:f>
      </x:c>
      <x:c r="G58" s="8" t="str">
        <x:f>IF('Contract Register'!A58="","",'Contract Register'!L58)</x:f>
      </x:c>
      <x:c r="H58" s="8" t="str">
        <x:f>IF(A58="","",IF(F58&lt;=30,"Escalate now",IF(F58&lt;=90,"Prepare renewal decision","Monitor")))</x:f>
      </x:c>
    </x:row>
    <x:row r="59">
      <x:c r="A59" s="8" t="str">
        <x:f>IF('Contract Register'!A59="","",'Contract Register'!A59)</x:f>
      </x:c>
      <x:c r="B59" s="8" t="str">
        <x:f>IF('Contract Register'!A59="","",'Contract Register'!B59)</x:f>
      </x:c>
      <x:c r="C59" s="8" t="str">
        <x:f>IF('Contract Register'!A59="","",'Contract Register'!D59)</x:f>
      </x:c>
      <x:c r="D59" s="12" t="str">
        <x:f>IF('Contract Register'!A59="","",'Contract Register'!I59)</x:f>
      </x:c>
      <x:c r="E59" s="12" t="str">
        <x:f>IF('Contract Register'!A59="","",'Contract Register'!J59)</x:f>
      </x:c>
      <x:c r="F59" s="13" t="str">
        <x:f>IF('Contract Register'!A59="","",'Contract Register'!K59)</x:f>
      </x:c>
      <x:c r="G59" s="8" t="str">
        <x:f>IF('Contract Register'!A59="","",'Contract Register'!L59)</x:f>
      </x:c>
      <x:c r="H59" s="8" t="str">
        <x:f>IF(A59="","",IF(F59&lt;=30,"Escalate now",IF(F59&lt;=90,"Prepare renewal decision","Monitor")))</x:f>
      </x:c>
    </x:row>
    <x:row r="60">
      <x:c r="A60" s="8" t="str">
        <x:f>IF('Contract Register'!A60="","",'Contract Register'!A60)</x:f>
      </x:c>
      <x:c r="B60" s="8" t="str">
        <x:f>IF('Contract Register'!A60="","",'Contract Register'!B60)</x:f>
      </x:c>
      <x:c r="C60" s="8" t="str">
        <x:f>IF('Contract Register'!A60="","",'Contract Register'!D60)</x:f>
      </x:c>
      <x:c r="D60" s="12" t="str">
        <x:f>IF('Contract Register'!A60="","",'Contract Register'!I60)</x:f>
      </x:c>
      <x:c r="E60" s="12" t="str">
        <x:f>IF('Contract Register'!A60="","",'Contract Register'!J60)</x:f>
      </x:c>
      <x:c r="F60" s="13" t="str">
        <x:f>IF('Contract Register'!A60="","",'Contract Register'!K60)</x:f>
      </x:c>
      <x:c r="G60" s="8" t="str">
        <x:f>IF('Contract Register'!A60="","",'Contract Register'!L60)</x:f>
      </x:c>
      <x:c r="H60" s="8" t="str">
        <x:f>IF(A60="","",IF(F60&lt;=30,"Escalate now",IF(F60&lt;=90,"Prepare renewal decision","Monitor")))</x:f>
      </x:c>
    </x:row>
    <x:row r="61">
      <x:c r="A61" s="8" t="str">
        <x:f>IF('Contract Register'!A61="","",'Contract Register'!A61)</x:f>
      </x:c>
      <x:c r="B61" s="8" t="str">
        <x:f>IF('Contract Register'!A61="","",'Contract Register'!B61)</x:f>
      </x:c>
      <x:c r="C61" s="8" t="str">
        <x:f>IF('Contract Register'!A61="","",'Contract Register'!D61)</x:f>
      </x:c>
      <x:c r="D61" s="12" t="str">
        <x:f>IF('Contract Register'!A61="","",'Contract Register'!I61)</x:f>
      </x:c>
      <x:c r="E61" s="12" t="str">
        <x:f>IF('Contract Register'!A61="","",'Contract Register'!J61)</x:f>
      </x:c>
      <x:c r="F61" s="13" t="str">
        <x:f>IF('Contract Register'!A61="","",'Contract Register'!K61)</x:f>
      </x:c>
      <x:c r="G61" s="8" t="str">
        <x:f>IF('Contract Register'!A61="","",'Contract Register'!L61)</x:f>
      </x:c>
      <x:c r="H61" s="8" t="str">
        <x:f>IF(A61="","",IF(F61&lt;=30,"Escalate now",IF(F61&lt;=90,"Prepare renewal decision","Monitor")))</x:f>
      </x:c>
    </x:row>
    <x:row r="62">
      <x:c r="A62" s="8" t="str">
        <x:f>IF('Contract Register'!A62="","",'Contract Register'!A62)</x:f>
      </x:c>
      <x:c r="B62" s="8" t="str">
        <x:f>IF('Contract Register'!A62="","",'Contract Register'!B62)</x:f>
      </x:c>
      <x:c r="C62" s="8" t="str">
        <x:f>IF('Contract Register'!A62="","",'Contract Register'!D62)</x:f>
      </x:c>
      <x:c r="D62" s="12" t="str">
        <x:f>IF('Contract Register'!A62="","",'Contract Register'!I62)</x:f>
      </x:c>
      <x:c r="E62" s="12" t="str">
        <x:f>IF('Contract Register'!A62="","",'Contract Register'!J62)</x:f>
      </x:c>
      <x:c r="F62" s="13" t="str">
        <x:f>IF('Contract Register'!A62="","",'Contract Register'!K62)</x:f>
      </x:c>
      <x:c r="G62" s="8" t="str">
        <x:f>IF('Contract Register'!A62="","",'Contract Register'!L62)</x:f>
      </x:c>
      <x:c r="H62" s="8" t="str">
        <x:f>IF(A62="","",IF(F62&lt;=30,"Escalate now",IF(F62&lt;=90,"Prepare renewal decision","Monitor")))</x:f>
      </x:c>
    </x:row>
    <x:row r="63">
      <x:c r="A63" s="8" t="str">
        <x:f>IF('Contract Register'!A63="","",'Contract Register'!A63)</x:f>
      </x:c>
      <x:c r="B63" s="8" t="str">
        <x:f>IF('Contract Register'!A63="","",'Contract Register'!B63)</x:f>
      </x:c>
      <x:c r="C63" s="8" t="str">
        <x:f>IF('Contract Register'!A63="","",'Contract Register'!D63)</x:f>
      </x:c>
      <x:c r="D63" s="12" t="str">
        <x:f>IF('Contract Register'!A63="","",'Contract Register'!I63)</x:f>
      </x:c>
      <x:c r="E63" s="12" t="str">
        <x:f>IF('Contract Register'!A63="","",'Contract Register'!J63)</x:f>
      </x:c>
      <x:c r="F63" s="13" t="str">
        <x:f>IF('Contract Register'!A63="","",'Contract Register'!K63)</x:f>
      </x:c>
      <x:c r="G63" s="8" t="str">
        <x:f>IF('Contract Register'!A63="","",'Contract Register'!L63)</x:f>
      </x:c>
      <x:c r="H63" s="8" t="str">
        <x:f>IF(A63="","",IF(F63&lt;=30,"Escalate now",IF(F63&lt;=90,"Prepare renewal decision","Monitor")))</x:f>
      </x:c>
    </x:row>
    <x:row r="64">
      <x:c r="A64" s="8" t="str">
        <x:f>IF('Contract Register'!A64="","",'Contract Register'!A64)</x:f>
      </x:c>
      <x:c r="B64" s="8" t="str">
        <x:f>IF('Contract Register'!A64="","",'Contract Register'!B64)</x:f>
      </x:c>
      <x:c r="C64" s="8" t="str">
        <x:f>IF('Contract Register'!A64="","",'Contract Register'!D64)</x:f>
      </x:c>
      <x:c r="D64" s="12" t="str">
        <x:f>IF('Contract Register'!A64="","",'Contract Register'!I64)</x:f>
      </x:c>
      <x:c r="E64" s="12" t="str">
        <x:f>IF('Contract Register'!A64="","",'Contract Register'!J64)</x:f>
      </x:c>
      <x:c r="F64" s="13" t="str">
        <x:f>IF('Contract Register'!A64="","",'Contract Register'!K64)</x:f>
      </x:c>
      <x:c r="G64" s="8" t="str">
        <x:f>IF('Contract Register'!A64="","",'Contract Register'!L64)</x:f>
      </x:c>
      <x:c r="H64" s="8" t="str">
        <x:f>IF(A64="","",IF(F64&lt;=30,"Escalate now",IF(F64&lt;=90,"Prepare renewal decision","Monitor")))</x:f>
      </x:c>
    </x:row>
    <x:row r="65">
      <x:c r="A65" s="8" t="str">
        <x:f>IF('Contract Register'!A65="","",'Contract Register'!A65)</x:f>
      </x:c>
      <x:c r="B65" s="8" t="str">
        <x:f>IF('Contract Register'!A65="","",'Contract Register'!B65)</x:f>
      </x:c>
      <x:c r="C65" s="8" t="str">
        <x:f>IF('Contract Register'!A65="","",'Contract Register'!D65)</x:f>
      </x:c>
      <x:c r="D65" s="12" t="str">
        <x:f>IF('Contract Register'!A65="","",'Contract Register'!I65)</x:f>
      </x:c>
      <x:c r="E65" s="12" t="str">
        <x:f>IF('Contract Register'!A65="","",'Contract Register'!J65)</x:f>
      </x:c>
      <x:c r="F65" s="13" t="str">
        <x:f>IF('Contract Register'!A65="","",'Contract Register'!K65)</x:f>
      </x:c>
      <x:c r="G65" s="8" t="str">
        <x:f>IF('Contract Register'!A65="","",'Contract Register'!L65)</x:f>
      </x:c>
      <x:c r="H65" s="8" t="str">
        <x:f>IF(A65="","",IF(F65&lt;=30,"Escalate now",IF(F65&lt;=90,"Prepare renewal decision","Monitor")))</x:f>
      </x:c>
    </x:row>
    <x:row r="66">
      <x:c r="A66" s="8" t="str">
        <x:f>IF('Contract Register'!A66="","",'Contract Register'!A66)</x:f>
      </x:c>
      <x:c r="B66" s="8" t="str">
        <x:f>IF('Contract Register'!A66="","",'Contract Register'!B66)</x:f>
      </x:c>
      <x:c r="C66" s="8" t="str">
        <x:f>IF('Contract Register'!A66="","",'Contract Register'!D66)</x:f>
      </x:c>
      <x:c r="D66" s="12" t="str">
        <x:f>IF('Contract Register'!A66="","",'Contract Register'!I66)</x:f>
      </x:c>
      <x:c r="E66" s="12" t="str">
        <x:f>IF('Contract Register'!A66="","",'Contract Register'!J66)</x:f>
      </x:c>
      <x:c r="F66" s="13" t="str">
        <x:f>IF('Contract Register'!A66="","",'Contract Register'!K66)</x:f>
      </x:c>
      <x:c r="G66" s="8" t="str">
        <x:f>IF('Contract Register'!A66="","",'Contract Register'!L66)</x:f>
      </x:c>
      <x:c r="H66" s="8" t="str">
        <x:f>IF(A66="","",IF(F66&lt;=30,"Escalate now",IF(F66&lt;=90,"Prepare renewal decision","Monitor")))</x:f>
      </x:c>
    </x:row>
    <x:row r="67">
      <x:c r="A67" s="8" t="str">
        <x:f>IF('Contract Register'!A67="","",'Contract Register'!A67)</x:f>
      </x:c>
      <x:c r="B67" s="8" t="str">
        <x:f>IF('Contract Register'!A67="","",'Contract Register'!B67)</x:f>
      </x:c>
      <x:c r="C67" s="8" t="str">
        <x:f>IF('Contract Register'!A67="","",'Contract Register'!D67)</x:f>
      </x:c>
      <x:c r="D67" s="12" t="str">
        <x:f>IF('Contract Register'!A67="","",'Contract Register'!I67)</x:f>
      </x:c>
      <x:c r="E67" s="12" t="str">
        <x:f>IF('Contract Register'!A67="","",'Contract Register'!J67)</x:f>
      </x:c>
      <x:c r="F67" s="13" t="str">
        <x:f>IF('Contract Register'!A67="","",'Contract Register'!K67)</x:f>
      </x:c>
      <x:c r="G67" s="8" t="str">
        <x:f>IF('Contract Register'!A67="","",'Contract Register'!L67)</x:f>
      </x:c>
      <x:c r="H67" s="8" t="str">
        <x:f>IF(A67="","",IF(F67&lt;=30,"Escalate now",IF(F67&lt;=90,"Prepare renewal decision","Monitor")))</x:f>
      </x:c>
    </x:row>
    <x:row r="68">
      <x:c r="A68" s="8" t="str">
        <x:f>IF('Contract Register'!A68="","",'Contract Register'!A68)</x:f>
      </x:c>
      <x:c r="B68" s="8" t="str">
        <x:f>IF('Contract Register'!A68="","",'Contract Register'!B68)</x:f>
      </x:c>
      <x:c r="C68" s="8" t="str">
        <x:f>IF('Contract Register'!A68="","",'Contract Register'!D68)</x:f>
      </x:c>
      <x:c r="D68" s="12" t="str">
        <x:f>IF('Contract Register'!A68="","",'Contract Register'!I68)</x:f>
      </x:c>
      <x:c r="E68" s="12" t="str">
        <x:f>IF('Contract Register'!A68="","",'Contract Register'!J68)</x:f>
      </x:c>
      <x:c r="F68" s="13" t="str">
        <x:f>IF('Contract Register'!A68="","",'Contract Register'!K68)</x:f>
      </x:c>
      <x:c r="G68" s="8" t="str">
        <x:f>IF('Contract Register'!A68="","",'Contract Register'!L68)</x:f>
      </x:c>
      <x:c r="H68" s="8" t="str">
        <x:f>IF(A68="","",IF(F68&lt;=30,"Escalate now",IF(F68&lt;=90,"Prepare renewal decision","Monitor")))</x:f>
      </x:c>
    </x:row>
    <x:row r="69">
      <x:c r="A69" s="8" t="str">
        <x:f>IF('Contract Register'!A69="","",'Contract Register'!A69)</x:f>
      </x:c>
      <x:c r="B69" s="8" t="str">
        <x:f>IF('Contract Register'!A69="","",'Contract Register'!B69)</x:f>
      </x:c>
      <x:c r="C69" s="8" t="str">
        <x:f>IF('Contract Register'!A69="","",'Contract Register'!D69)</x:f>
      </x:c>
      <x:c r="D69" s="12" t="str">
        <x:f>IF('Contract Register'!A69="","",'Contract Register'!I69)</x:f>
      </x:c>
      <x:c r="E69" s="12" t="str">
        <x:f>IF('Contract Register'!A69="","",'Contract Register'!J69)</x:f>
      </x:c>
      <x:c r="F69" s="13" t="str">
        <x:f>IF('Contract Register'!A69="","",'Contract Register'!K69)</x:f>
      </x:c>
      <x:c r="G69" s="8" t="str">
        <x:f>IF('Contract Register'!A69="","",'Contract Register'!L69)</x:f>
      </x:c>
      <x:c r="H69" s="8" t="str">
        <x:f>IF(A69="","",IF(F69&lt;=30,"Escalate now",IF(F69&lt;=90,"Prepare renewal decision","Monitor")))</x:f>
      </x:c>
    </x:row>
    <x:row r="70">
      <x:c r="A70" s="8" t="str">
        <x:f>IF('Contract Register'!A70="","",'Contract Register'!A70)</x:f>
      </x:c>
      <x:c r="B70" s="8" t="str">
        <x:f>IF('Contract Register'!A70="","",'Contract Register'!B70)</x:f>
      </x:c>
      <x:c r="C70" s="8" t="str">
        <x:f>IF('Contract Register'!A70="","",'Contract Register'!D70)</x:f>
      </x:c>
      <x:c r="D70" s="12" t="str">
        <x:f>IF('Contract Register'!A70="","",'Contract Register'!I70)</x:f>
      </x:c>
      <x:c r="E70" s="12" t="str">
        <x:f>IF('Contract Register'!A70="","",'Contract Register'!J70)</x:f>
      </x:c>
      <x:c r="F70" s="13" t="str">
        <x:f>IF('Contract Register'!A70="","",'Contract Register'!K70)</x:f>
      </x:c>
      <x:c r="G70" s="8" t="str">
        <x:f>IF('Contract Register'!A70="","",'Contract Register'!L70)</x:f>
      </x:c>
      <x:c r="H70" s="8" t="str">
        <x:f>IF(A70="","",IF(F70&lt;=30,"Escalate now",IF(F70&lt;=90,"Prepare renewal decision","Monitor")))</x:f>
      </x:c>
    </x:row>
    <x:row r="71">
      <x:c r="A71" s="8" t="str">
        <x:f>IF('Contract Register'!A71="","",'Contract Register'!A71)</x:f>
      </x:c>
      <x:c r="B71" s="8" t="str">
        <x:f>IF('Contract Register'!A71="","",'Contract Register'!B71)</x:f>
      </x:c>
      <x:c r="C71" s="8" t="str">
        <x:f>IF('Contract Register'!A71="","",'Contract Register'!D71)</x:f>
      </x:c>
      <x:c r="D71" s="12" t="str">
        <x:f>IF('Contract Register'!A71="","",'Contract Register'!I71)</x:f>
      </x:c>
      <x:c r="E71" s="12" t="str">
        <x:f>IF('Contract Register'!A71="","",'Contract Register'!J71)</x:f>
      </x:c>
      <x:c r="F71" s="13" t="str">
        <x:f>IF('Contract Register'!A71="","",'Contract Register'!K71)</x:f>
      </x:c>
      <x:c r="G71" s="8" t="str">
        <x:f>IF('Contract Register'!A71="","",'Contract Register'!L71)</x:f>
      </x:c>
      <x:c r="H71" s="8" t="str">
        <x:f>IF(A71="","",IF(F71&lt;=30,"Escalate now",IF(F71&lt;=90,"Prepare renewal decision","Monitor")))</x:f>
      </x:c>
    </x:row>
    <x:row r="72">
      <x:c r="A72" s="8" t="str">
        <x:f>IF('Contract Register'!A72="","",'Contract Register'!A72)</x:f>
      </x:c>
      <x:c r="B72" s="8" t="str">
        <x:f>IF('Contract Register'!A72="","",'Contract Register'!B72)</x:f>
      </x:c>
      <x:c r="C72" s="8" t="str">
        <x:f>IF('Contract Register'!A72="","",'Contract Register'!D72)</x:f>
      </x:c>
      <x:c r="D72" s="12" t="str">
        <x:f>IF('Contract Register'!A72="","",'Contract Register'!I72)</x:f>
      </x:c>
      <x:c r="E72" s="12" t="str">
        <x:f>IF('Contract Register'!A72="","",'Contract Register'!J72)</x:f>
      </x:c>
      <x:c r="F72" s="13" t="str">
        <x:f>IF('Contract Register'!A72="","",'Contract Register'!K72)</x:f>
      </x:c>
      <x:c r="G72" s="8" t="str">
        <x:f>IF('Contract Register'!A72="","",'Contract Register'!L72)</x:f>
      </x:c>
      <x:c r="H72" s="8" t="str">
        <x:f>IF(A72="","",IF(F72&lt;=30,"Escalate now",IF(F72&lt;=90,"Prepare renewal decision","Monitor")))</x:f>
      </x:c>
    </x:row>
    <x:row r="73">
      <x:c r="A73" s="8" t="str">
        <x:f>IF('Contract Register'!A73="","",'Contract Register'!A73)</x:f>
      </x:c>
      <x:c r="B73" s="8" t="str">
        <x:f>IF('Contract Register'!A73="","",'Contract Register'!B73)</x:f>
      </x:c>
      <x:c r="C73" s="8" t="str">
        <x:f>IF('Contract Register'!A73="","",'Contract Register'!D73)</x:f>
      </x:c>
      <x:c r="D73" s="12" t="str">
        <x:f>IF('Contract Register'!A73="","",'Contract Register'!I73)</x:f>
      </x:c>
      <x:c r="E73" s="12" t="str">
        <x:f>IF('Contract Register'!A73="","",'Contract Register'!J73)</x:f>
      </x:c>
      <x:c r="F73" s="13" t="str">
        <x:f>IF('Contract Register'!A73="","",'Contract Register'!K73)</x:f>
      </x:c>
      <x:c r="G73" s="8" t="str">
        <x:f>IF('Contract Register'!A73="","",'Contract Register'!L73)</x:f>
      </x:c>
      <x:c r="H73" s="8" t="str">
        <x:f>IF(A73="","",IF(F73&lt;=30,"Escalate now",IF(F73&lt;=90,"Prepare renewal decision","Monitor")))</x:f>
      </x:c>
    </x:row>
    <x:row r="74">
      <x:c r="A74" s="8" t="str">
        <x:f>IF('Contract Register'!A74="","",'Contract Register'!A74)</x:f>
      </x:c>
      <x:c r="B74" s="8" t="str">
        <x:f>IF('Contract Register'!A74="","",'Contract Register'!B74)</x:f>
      </x:c>
      <x:c r="C74" s="8" t="str">
        <x:f>IF('Contract Register'!A74="","",'Contract Register'!D74)</x:f>
      </x:c>
      <x:c r="D74" s="12" t="str">
        <x:f>IF('Contract Register'!A74="","",'Contract Register'!I74)</x:f>
      </x:c>
      <x:c r="E74" s="12" t="str">
        <x:f>IF('Contract Register'!A74="","",'Contract Register'!J74)</x:f>
      </x:c>
      <x:c r="F74" s="13" t="str">
        <x:f>IF('Contract Register'!A74="","",'Contract Register'!K74)</x:f>
      </x:c>
      <x:c r="G74" s="8" t="str">
        <x:f>IF('Contract Register'!A74="","",'Contract Register'!L74)</x:f>
      </x:c>
      <x:c r="H74" s="8" t="str">
        <x:f>IF(A74="","",IF(F74&lt;=30,"Escalate now",IF(F74&lt;=90,"Prepare renewal decision","Monitor")))</x:f>
      </x:c>
    </x:row>
    <x:row r="75">
      <x:c r="A75" s="8" t="str">
        <x:f>IF('Contract Register'!A75="","",'Contract Register'!A75)</x:f>
      </x:c>
      <x:c r="B75" s="8" t="str">
        <x:f>IF('Contract Register'!A75="","",'Contract Register'!B75)</x:f>
      </x:c>
      <x:c r="C75" s="8" t="str">
        <x:f>IF('Contract Register'!A75="","",'Contract Register'!D75)</x:f>
      </x:c>
      <x:c r="D75" s="12" t="str">
        <x:f>IF('Contract Register'!A75="","",'Contract Register'!I75)</x:f>
      </x:c>
      <x:c r="E75" s="12" t="str">
        <x:f>IF('Contract Register'!A75="","",'Contract Register'!J75)</x:f>
      </x:c>
      <x:c r="F75" s="13" t="str">
        <x:f>IF('Contract Register'!A75="","",'Contract Register'!K75)</x:f>
      </x:c>
      <x:c r="G75" s="8" t="str">
        <x:f>IF('Contract Register'!A75="","",'Contract Register'!L75)</x:f>
      </x:c>
      <x:c r="H75" s="8" t="str">
        <x:f>IF(A75="","",IF(F75&lt;=30,"Escalate now",IF(F75&lt;=90,"Prepare renewal decision","Monitor")))</x:f>
      </x:c>
    </x:row>
    <x:row r="76">
      <x:c r="A76" s="8" t="str">
        <x:f>IF('Contract Register'!A76="","",'Contract Register'!A76)</x:f>
      </x:c>
      <x:c r="B76" s="8" t="str">
        <x:f>IF('Contract Register'!A76="","",'Contract Register'!B76)</x:f>
      </x:c>
      <x:c r="C76" s="8" t="str">
        <x:f>IF('Contract Register'!A76="","",'Contract Register'!D76)</x:f>
      </x:c>
      <x:c r="D76" s="12" t="str">
        <x:f>IF('Contract Register'!A76="","",'Contract Register'!I76)</x:f>
      </x:c>
      <x:c r="E76" s="12" t="str">
        <x:f>IF('Contract Register'!A76="","",'Contract Register'!J76)</x:f>
      </x:c>
      <x:c r="F76" s="13" t="str">
        <x:f>IF('Contract Register'!A76="","",'Contract Register'!K76)</x:f>
      </x:c>
      <x:c r="G76" s="8" t="str">
        <x:f>IF('Contract Register'!A76="","",'Contract Register'!L76)</x:f>
      </x:c>
      <x:c r="H76" s="8" t="str">
        <x:f>IF(A76="","",IF(F76&lt;=30,"Escalate now",IF(F76&lt;=90,"Prepare renewal decision","Monitor")))</x:f>
      </x:c>
    </x:row>
    <x:row r="77">
      <x:c r="A77" s="8" t="str">
        <x:f>IF('Contract Register'!A77="","",'Contract Register'!A77)</x:f>
      </x:c>
      <x:c r="B77" s="8" t="str">
        <x:f>IF('Contract Register'!A77="","",'Contract Register'!B77)</x:f>
      </x:c>
      <x:c r="C77" s="8" t="str">
        <x:f>IF('Contract Register'!A77="","",'Contract Register'!D77)</x:f>
      </x:c>
      <x:c r="D77" s="12" t="str">
        <x:f>IF('Contract Register'!A77="","",'Contract Register'!I77)</x:f>
      </x:c>
      <x:c r="E77" s="12" t="str">
        <x:f>IF('Contract Register'!A77="","",'Contract Register'!J77)</x:f>
      </x:c>
      <x:c r="F77" s="13" t="str">
        <x:f>IF('Contract Register'!A77="","",'Contract Register'!K77)</x:f>
      </x:c>
      <x:c r="G77" s="8" t="str">
        <x:f>IF('Contract Register'!A77="","",'Contract Register'!L77)</x:f>
      </x:c>
      <x:c r="H77" s="8" t="str">
        <x:f>IF(A77="","",IF(F77&lt;=30,"Escalate now",IF(F77&lt;=90,"Prepare renewal decision","Monitor")))</x:f>
      </x:c>
    </x:row>
    <x:row r="78">
      <x:c r="A78" s="8" t="str">
        <x:f>IF('Contract Register'!A78="","",'Contract Register'!A78)</x:f>
      </x:c>
      <x:c r="B78" s="8" t="str">
        <x:f>IF('Contract Register'!A78="","",'Contract Register'!B78)</x:f>
      </x:c>
      <x:c r="C78" s="8" t="str">
        <x:f>IF('Contract Register'!A78="","",'Contract Register'!D78)</x:f>
      </x:c>
      <x:c r="D78" s="12" t="str">
        <x:f>IF('Contract Register'!A78="","",'Contract Register'!I78)</x:f>
      </x:c>
      <x:c r="E78" s="12" t="str">
        <x:f>IF('Contract Register'!A78="","",'Contract Register'!J78)</x:f>
      </x:c>
      <x:c r="F78" s="13" t="str">
        <x:f>IF('Contract Register'!A78="","",'Contract Register'!K78)</x:f>
      </x:c>
      <x:c r="G78" s="8" t="str">
        <x:f>IF('Contract Register'!A78="","",'Contract Register'!L78)</x:f>
      </x:c>
      <x:c r="H78" s="8" t="str">
        <x:f>IF(A78="","",IF(F78&lt;=30,"Escalate now",IF(F78&lt;=90,"Prepare renewal decision","Monitor")))</x:f>
      </x:c>
    </x:row>
    <x:row r="79">
      <x:c r="A79" s="8" t="str">
        <x:f>IF('Contract Register'!A79="","",'Contract Register'!A79)</x:f>
      </x:c>
      <x:c r="B79" s="8" t="str">
        <x:f>IF('Contract Register'!A79="","",'Contract Register'!B79)</x:f>
      </x:c>
      <x:c r="C79" s="8" t="str">
        <x:f>IF('Contract Register'!A79="","",'Contract Register'!D79)</x:f>
      </x:c>
      <x:c r="D79" s="12" t="str">
        <x:f>IF('Contract Register'!A79="","",'Contract Register'!I79)</x:f>
      </x:c>
      <x:c r="E79" s="12" t="str">
        <x:f>IF('Contract Register'!A79="","",'Contract Register'!J79)</x:f>
      </x:c>
      <x:c r="F79" s="13" t="str">
        <x:f>IF('Contract Register'!A79="","",'Contract Register'!K79)</x:f>
      </x:c>
      <x:c r="G79" s="8" t="str">
        <x:f>IF('Contract Register'!A79="","",'Contract Register'!L79)</x:f>
      </x:c>
      <x:c r="H79" s="8" t="str">
        <x:f>IF(A79="","",IF(F79&lt;=30,"Escalate now",IF(F79&lt;=90,"Prepare renewal decision","Monitor")))</x:f>
      </x:c>
    </x:row>
    <x:row r="80">
      <x:c r="A80" s="8" t="str">
        <x:f>IF('Contract Register'!A80="","",'Contract Register'!A80)</x:f>
      </x:c>
      <x:c r="B80" s="8" t="str">
        <x:f>IF('Contract Register'!A80="","",'Contract Register'!B80)</x:f>
      </x:c>
      <x:c r="C80" s="8" t="str">
        <x:f>IF('Contract Register'!A80="","",'Contract Register'!D80)</x:f>
      </x:c>
      <x:c r="D80" s="12" t="str">
        <x:f>IF('Contract Register'!A80="","",'Contract Register'!I80)</x:f>
      </x:c>
      <x:c r="E80" s="12" t="str">
        <x:f>IF('Contract Register'!A80="","",'Contract Register'!J80)</x:f>
      </x:c>
      <x:c r="F80" s="13" t="str">
        <x:f>IF('Contract Register'!A80="","",'Contract Register'!K80)</x:f>
      </x:c>
      <x:c r="G80" s="8" t="str">
        <x:f>IF('Contract Register'!A80="","",'Contract Register'!L80)</x:f>
      </x:c>
      <x:c r="H80" s="8" t="str">
        <x:f>IF(A80="","",IF(F80&lt;=30,"Escalate now",IF(F80&lt;=90,"Prepare renewal decision","Monitor")))</x:f>
      </x:c>
    </x:row>
    <x:row r="81">
      <x:c r="A81" s="8" t="str">
        <x:f>IF('Contract Register'!A81="","",'Contract Register'!A81)</x:f>
      </x:c>
      <x:c r="B81" s="8" t="str">
        <x:f>IF('Contract Register'!A81="","",'Contract Register'!B81)</x:f>
      </x:c>
      <x:c r="C81" s="8" t="str">
        <x:f>IF('Contract Register'!A81="","",'Contract Register'!D81)</x:f>
      </x:c>
      <x:c r="D81" s="12" t="str">
        <x:f>IF('Contract Register'!A81="","",'Contract Register'!I81)</x:f>
      </x:c>
      <x:c r="E81" s="12" t="str">
        <x:f>IF('Contract Register'!A81="","",'Contract Register'!J81)</x:f>
      </x:c>
      <x:c r="F81" s="13" t="str">
        <x:f>IF('Contract Register'!A81="","",'Contract Register'!K81)</x:f>
      </x:c>
      <x:c r="G81" s="8" t="str">
        <x:f>IF('Contract Register'!A81="","",'Contract Register'!L81)</x:f>
      </x:c>
      <x:c r="H81" s="8" t="str">
        <x:f>IF(A81="","",IF(F81&lt;=30,"Escalate now",IF(F81&lt;=90,"Prepare renewal decision","Monitor")))</x:f>
      </x:c>
    </x:row>
    <x:row r="82">
      <x:c r="A82" s="8" t="str">
        <x:f>IF('Contract Register'!A82="","",'Contract Register'!A82)</x:f>
      </x:c>
      <x:c r="B82" s="8" t="str">
        <x:f>IF('Contract Register'!A82="","",'Contract Register'!B82)</x:f>
      </x:c>
      <x:c r="C82" s="8" t="str">
        <x:f>IF('Contract Register'!A82="","",'Contract Register'!D82)</x:f>
      </x:c>
      <x:c r="D82" s="12" t="str">
        <x:f>IF('Contract Register'!A82="","",'Contract Register'!I82)</x:f>
      </x:c>
      <x:c r="E82" s="12" t="str">
        <x:f>IF('Contract Register'!A82="","",'Contract Register'!J82)</x:f>
      </x:c>
      <x:c r="F82" s="13" t="str">
        <x:f>IF('Contract Register'!A82="","",'Contract Register'!K82)</x:f>
      </x:c>
      <x:c r="G82" s="8" t="str">
        <x:f>IF('Contract Register'!A82="","",'Contract Register'!L82)</x:f>
      </x:c>
      <x:c r="H82" s="8" t="str">
        <x:f>IF(A82="","",IF(F82&lt;=30,"Escalate now",IF(F82&lt;=90,"Prepare renewal decision","Monitor")))</x:f>
      </x:c>
    </x:row>
    <x:row r="83">
      <x:c r="A83" s="8" t="str">
        <x:f>IF('Contract Register'!A83="","",'Contract Register'!A83)</x:f>
      </x:c>
      <x:c r="B83" s="8" t="str">
        <x:f>IF('Contract Register'!A83="","",'Contract Register'!B83)</x:f>
      </x:c>
      <x:c r="C83" s="8" t="str">
        <x:f>IF('Contract Register'!A83="","",'Contract Register'!D83)</x:f>
      </x:c>
      <x:c r="D83" s="12" t="str">
        <x:f>IF('Contract Register'!A83="","",'Contract Register'!I83)</x:f>
      </x:c>
      <x:c r="E83" s="12" t="str">
        <x:f>IF('Contract Register'!A83="","",'Contract Register'!J83)</x:f>
      </x:c>
      <x:c r="F83" s="13" t="str">
        <x:f>IF('Contract Register'!A83="","",'Contract Register'!K83)</x:f>
      </x:c>
      <x:c r="G83" s="8" t="str">
        <x:f>IF('Contract Register'!A83="","",'Contract Register'!L83)</x:f>
      </x:c>
      <x:c r="H83" s="8" t="str">
        <x:f>IF(A83="","",IF(F83&lt;=30,"Escalate now",IF(F83&lt;=90,"Prepare renewal decision","Monitor")))</x:f>
      </x:c>
    </x:row>
    <x:row r="84">
      <x:c r="A84" s="8" t="str">
        <x:f>IF('Contract Register'!A84="","",'Contract Register'!A84)</x:f>
      </x:c>
      <x:c r="B84" s="8" t="str">
        <x:f>IF('Contract Register'!A84="","",'Contract Register'!B84)</x:f>
      </x:c>
      <x:c r="C84" s="8" t="str">
        <x:f>IF('Contract Register'!A84="","",'Contract Register'!D84)</x:f>
      </x:c>
      <x:c r="D84" s="12" t="str">
        <x:f>IF('Contract Register'!A84="","",'Contract Register'!I84)</x:f>
      </x:c>
      <x:c r="E84" s="12" t="str">
        <x:f>IF('Contract Register'!A84="","",'Contract Register'!J84)</x:f>
      </x:c>
      <x:c r="F84" s="13" t="str">
        <x:f>IF('Contract Register'!A84="","",'Contract Register'!K84)</x:f>
      </x:c>
      <x:c r="G84" s="8" t="str">
        <x:f>IF('Contract Register'!A84="","",'Contract Register'!L84)</x:f>
      </x:c>
      <x:c r="H84" s="8" t="str">
        <x:f>IF(A84="","",IF(F84&lt;=30,"Escalate now",IF(F84&lt;=90,"Prepare renewal decision","Monitor")))</x:f>
      </x:c>
    </x:row>
    <x:row r="85">
      <x:c r="A85" s="8" t="str">
        <x:f>IF('Contract Register'!A85="","",'Contract Register'!A85)</x:f>
      </x:c>
      <x:c r="B85" s="8" t="str">
        <x:f>IF('Contract Register'!A85="","",'Contract Register'!B85)</x:f>
      </x:c>
      <x:c r="C85" s="8" t="str">
        <x:f>IF('Contract Register'!A85="","",'Contract Register'!D85)</x:f>
      </x:c>
      <x:c r="D85" s="12" t="str">
        <x:f>IF('Contract Register'!A85="","",'Contract Register'!I85)</x:f>
      </x:c>
      <x:c r="E85" s="12" t="str">
        <x:f>IF('Contract Register'!A85="","",'Contract Register'!J85)</x:f>
      </x:c>
      <x:c r="F85" s="13" t="str">
        <x:f>IF('Contract Register'!A85="","",'Contract Register'!K85)</x:f>
      </x:c>
      <x:c r="G85" s="8" t="str">
        <x:f>IF('Contract Register'!A85="","",'Contract Register'!L85)</x:f>
      </x:c>
      <x:c r="H85" s="8" t="str">
        <x:f>IF(A85="","",IF(F85&lt;=30,"Escalate now",IF(F85&lt;=90,"Prepare renewal decision","Monitor")))</x:f>
      </x:c>
    </x:row>
    <x:row r="86">
      <x:c r="A86" s="8" t="str">
        <x:f>IF('Contract Register'!A86="","",'Contract Register'!A86)</x:f>
      </x:c>
      <x:c r="B86" s="8" t="str">
        <x:f>IF('Contract Register'!A86="","",'Contract Register'!B86)</x:f>
      </x:c>
      <x:c r="C86" s="8" t="str">
        <x:f>IF('Contract Register'!A86="","",'Contract Register'!D86)</x:f>
      </x:c>
      <x:c r="D86" s="12" t="str">
        <x:f>IF('Contract Register'!A86="","",'Contract Register'!I86)</x:f>
      </x:c>
      <x:c r="E86" s="12" t="str">
        <x:f>IF('Contract Register'!A86="","",'Contract Register'!J86)</x:f>
      </x:c>
      <x:c r="F86" s="13" t="str">
        <x:f>IF('Contract Register'!A86="","",'Contract Register'!K86)</x:f>
      </x:c>
      <x:c r="G86" s="8" t="str">
        <x:f>IF('Contract Register'!A86="","",'Contract Register'!L86)</x:f>
      </x:c>
      <x:c r="H86" s="8" t="str">
        <x:f>IF(A86="","",IF(F86&lt;=30,"Escalate now",IF(F86&lt;=90,"Prepare renewal decision","Monitor")))</x:f>
      </x:c>
    </x:row>
    <x:row r="87">
      <x:c r="A87" s="8" t="str">
        <x:f>IF('Contract Register'!A87="","",'Contract Register'!A87)</x:f>
      </x:c>
      <x:c r="B87" s="8" t="str">
        <x:f>IF('Contract Register'!A87="","",'Contract Register'!B87)</x:f>
      </x:c>
      <x:c r="C87" s="8" t="str">
        <x:f>IF('Contract Register'!A87="","",'Contract Register'!D87)</x:f>
      </x:c>
      <x:c r="D87" s="12" t="str">
        <x:f>IF('Contract Register'!A87="","",'Contract Register'!I87)</x:f>
      </x:c>
      <x:c r="E87" s="12" t="str">
        <x:f>IF('Contract Register'!A87="","",'Contract Register'!J87)</x:f>
      </x:c>
      <x:c r="F87" s="13" t="str">
        <x:f>IF('Contract Register'!A87="","",'Contract Register'!K87)</x:f>
      </x:c>
      <x:c r="G87" s="8" t="str">
        <x:f>IF('Contract Register'!A87="","",'Contract Register'!L87)</x:f>
      </x:c>
      <x:c r="H87" s="8" t="str">
        <x:f>IF(A87="","",IF(F87&lt;=30,"Escalate now",IF(F87&lt;=90,"Prepare renewal decision","Monitor")))</x:f>
      </x:c>
    </x:row>
    <x:row r="88">
      <x:c r="A88" s="8" t="str">
        <x:f>IF('Contract Register'!A88="","",'Contract Register'!A88)</x:f>
      </x:c>
      <x:c r="B88" s="8" t="str">
        <x:f>IF('Contract Register'!A88="","",'Contract Register'!B88)</x:f>
      </x:c>
      <x:c r="C88" s="8" t="str">
        <x:f>IF('Contract Register'!A88="","",'Contract Register'!D88)</x:f>
      </x:c>
      <x:c r="D88" s="12" t="str">
        <x:f>IF('Contract Register'!A88="","",'Contract Register'!I88)</x:f>
      </x:c>
      <x:c r="E88" s="12" t="str">
        <x:f>IF('Contract Register'!A88="","",'Contract Register'!J88)</x:f>
      </x:c>
      <x:c r="F88" s="13" t="str">
        <x:f>IF('Contract Register'!A88="","",'Contract Register'!K88)</x:f>
      </x:c>
      <x:c r="G88" s="8" t="str">
        <x:f>IF('Contract Register'!A88="","",'Contract Register'!L88)</x:f>
      </x:c>
      <x:c r="H88" s="8" t="str">
        <x:f>IF(A88="","",IF(F88&lt;=30,"Escalate now",IF(F88&lt;=90,"Prepare renewal decision","Monitor")))</x:f>
      </x:c>
    </x:row>
    <x:row r="89">
      <x:c r="A89" s="8" t="str">
        <x:f>IF('Contract Register'!A89="","",'Contract Register'!A89)</x:f>
      </x:c>
      <x:c r="B89" s="8" t="str">
        <x:f>IF('Contract Register'!A89="","",'Contract Register'!B89)</x:f>
      </x:c>
      <x:c r="C89" s="8" t="str">
        <x:f>IF('Contract Register'!A89="","",'Contract Register'!D89)</x:f>
      </x:c>
      <x:c r="D89" s="12" t="str">
        <x:f>IF('Contract Register'!A89="","",'Contract Register'!I89)</x:f>
      </x:c>
      <x:c r="E89" s="12" t="str">
        <x:f>IF('Contract Register'!A89="","",'Contract Register'!J89)</x:f>
      </x:c>
      <x:c r="F89" s="13" t="str">
        <x:f>IF('Contract Register'!A89="","",'Contract Register'!K89)</x:f>
      </x:c>
      <x:c r="G89" s="8" t="str">
        <x:f>IF('Contract Register'!A89="","",'Contract Register'!L89)</x:f>
      </x:c>
      <x:c r="H89" s="8" t="str">
        <x:f>IF(A89="","",IF(F89&lt;=30,"Escalate now",IF(F89&lt;=90,"Prepare renewal decision","Monitor")))</x:f>
      </x:c>
    </x:row>
    <x:row r="90">
      <x:c r="A90" s="8" t="str">
        <x:f>IF('Contract Register'!A90="","",'Contract Register'!A90)</x:f>
      </x:c>
      <x:c r="B90" s="8" t="str">
        <x:f>IF('Contract Register'!A90="","",'Contract Register'!B90)</x:f>
      </x:c>
      <x:c r="C90" s="8" t="str">
        <x:f>IF('Contract Register'!A90="","",'Contract Register'!D90)</x:f>
      </x:c>
      <x:c r="D90" s="12" t="str">
        <x:f>IF('Contract Register'!A90="","",'Contract Register'!I90)</x:f>
      </x:c>
      <x:c r="E90" s="12" t="str">
        <x:f>IF('Contract Register'!A90="","",'Contract Register'!J90)</x:f>
      </x:c>
      <x:c r="F90" s="13" t="str">
        <x:f>IF('Contract Register'!A90="","",'Contract Register'!K90)</x:f>
      </x:c>
      <x:c r="G90" s="8" t="str">
        <x:f>IF('Contract Register'!A90="","",'Contract Register'!L90)</x:f>
      </x:c>
      <x:c r="H90" s="8" t="str">
        <x:f>IF(A90="","",IF(F90&lt;=30,"Escalate now",IF(F90&lt;=90,"Prepare renewal decision","Monitor")))</x:f>
      </x:c>
    </x:row>
    <x:row r="91">
      <x:c r="A91" s="8" t="str">
        <x:f>IF('Contract Register'!A91="","",'Contract Register'!A91)</x:f>
      </x:c>
      <x:c r="B91" s="8" t="str">
        <x:f>IF('Contract Register'!A91="","",'Contract Register'!B91)</x:f>
      </x:c>
      <x:c r="C91" s="8" t="str">
        <x:f>IF('Contract Register'!A91="","",'Contract Register'!D91)</x:f>
      </x:c>
      <x:c r="D91" s="12" t="str">
        <x:f>IF('Contract Register'!A91="","",'Contract Register'!I91)</x:f>
      </x:c>
      <x:c r="E91" s="12" t="str">
        <x:f>IF('Contract Register'!A91="","",'Contract Register'!J91)</x:f>
      </x:c>
      <x:c r="F91" s="13" t="str">
        <x:f>IF('Contract Register'!A91="","",'Contract Register'!K91)</x:f>
      </x:c>
      <x:c r="G91" s="8" t="str">
        <x:f>IF('Contract Register'!A91="","",'Contract Register'!L91)</x:f>
      </x:c>
      <x:c r="H91" s="8" t="str">
        <x:f>IF(A91="","",IF(F91&lt;=30,"Escalate now",IF(F91&lt;=90,"Prepare renewal decision","Monitor")))</x:f>
      </x:c>
    </x:row>
    <x:row r="92">
      <x:c r="A92" s="8" t="str">
        <x:f>IF('Contract Register'!A92="","",'Contract Register'!A92)</x:f>
      </x:c>
      <x:c r="B92" s="8" t="str">
        <x:f>IF('Contract Register'!A92="","",'Contract Register'!B92)</x:f>
      </x:c>
      <x:c r="C92" s="8" t="str">
        <x:f>IF('Contract Register'!A92="","",'Contract Register'!D92)</x:f>
      </x:c>
      <x:c r="D92" s="12" t="str">
        <x:f>IF('Contract Register'!A92="","",'Contract Register'!I92)</x:f>
      </x:c>
      <x:c r="E92" s="12" t="str">
        <x:f>IF('Contract Register'!A92="","",'Contract Register'!J92)</x:f>
      </x:c>
      <x:c r="F92" s="13" t="str">
        <x:f>IF('Contract Register'!A92="","",'Contract Register'!K92)</x:f>
      </x:c>
      <x:c r="G92" s="8" t="str">
        <x:f>IF('Contract Register'!A92="","",'Contract Register'!L92)</x:f>
      </x:c>
      <x:c r="H92" s="8" t="str">
        <x:f>IF(A92="","",IF(F92&lt;=30,"Escalate now",IF(F92&lt;=90,"Prepare renewal decision","Monitor")))</x:f>
      </x:c>
    </x:row>
    <x:row r="93">
      <x:c r="A93" s="8" t="str">
        <x:f>IF('Contract Register'!A93="","",'Contract Register'!A93)</x:f>
      </x:c>
      <x:c r="B93" s="8" t="str">
        <x:f>IF('Contract Register'!A93="","",'Contract Register'!B93)</x:f>
      </x:c>
      <x:c r="C93" s="8" t="str">
        <x:f>IF('Contract Register'!A93="","",'Contract Register'!D93)</x:f>
      </x:c>
      <x:c r="D93" s="12" t="str">
        <x:f>IF('Contract Register'!A93="","",'Contract Register'!I93)</x:f>
      </x:c>
      <x:c r="E93" s="12" t="str">
        <x:f>IF('Contract Register'!A93="","",'Contract Register'!J93)</x:f>
      </x:c>
      <x:c r="F93" s="13" t="str">
        <x:f>IF('Contract Register'!A93="","",'Contract Register'!K93)</x:f>
      </x:c>
      <x:c r="G93" s="8" t="str">
        <x:f>IF('Contract Register'!A93="","",'Contract Register'!L93)</x:f>
      </x:c>
      <x:c r="H93" s="8" t="str">
        <x:f>IF(A93="","",IF(F93&lt;=30,"Escalate now",IF(F93&lt;=90,"Prepare renewal decision","Monitor")))</x:f>
      </x:c>
    </x:row>
    <x:row r="94">
      <x:c r="A94" s="8" t="str">
        <x:f>IF('Contract Register'!A94="","",'Contract Register'!A94)</x:f>
      </x:c>
      <x:c r="B94" s="8" t="str">
        <x:f>IF('Contract Register'!A94="","",'Contract Register'!B94)</x:f>
      </x:c>
      <x:c r="C94" s="8" t="str">
        <x:f>IF('Contract Register'!A94="","",'Contract Register'!D94)</x:f>
      </x:c>
      <x:c r="D94" s="12" t="str">
        <x:f>IF('Contract Register'!A94="","",'Contract Register'!I94)</x:f>
      </x:c>
      <x:c r="E94" s="12" t="str">
        <x:f>IF('Contract Register'!A94="","",'Contract Register'!J94)</x:f>
      </x:c>
      <x:c r="F94" s="13" t="str">
        <x:f>IF('Contract Register'!A94="","",'Contract Register'!K94)</x:f>
      </x:c>
      <x:c r="G94" s="8" t="str">
        <x:f>IF('Contract Register'!A94="","",'Contract Register'!L94)</x:f>
      </x:c>
      <x:c r="H94" s="8" t="str">
        <x:f>IF(A94="","",IF(F94&lt;=30,"Escalate now",IF(F94&lt;=90,"Prepare renewal decision","Monitor")))</x:f>
      </x:c>
    </x:row>
    <x:row r="95">
      <x:c r="A95" s="8" t="str">
        <x:f>IF('Contract Register'!A95="","",'Contract Register'!A95)</x:f>
      </x:c>
      <x:c r="B95" s="8" t="str">
        <x:f>IF('Contract Register'!A95="","",'Contract Register'!B95)</x:f>
      </x:c>
      <x:c r="C95" s="8" t="str">
        <x:f>IF('Contract Register'!A95="","",'Contract Register'!D95)</x:f>
      </x:c>
      <x:c r="D95" s="12" t="str">
        <x:f>IF('Contract Register'!A95="","",'Contract Register'!I95)</x:f>
      </x:c>
      <x:c r="E95" s="12" t="str">
        <x:f>IF('Contract Register'!A95="","",'Contract Register'!J95)</x:f>
      </x:c>
      <x:c r="F95" s="13" t="str">
        <x:f>IF('Contract Register'!A95="","",'Contract Register'!K95)</x:f>
      </x:c>
      <x:c r="G95" s="8" t="str">
        <x:f>IF('Contract Register'!A95="","",'Contract Register'!L95)</x:f>
      </x:c>
      <x:c r="H95" s="8" t="str">
        <x:f>IF(A95="","",IF(F95&lt;=30,"Escalate now",IF(F95&lt;=90,"Prepare renewal decision","Monitor")))</x:f>
      </x:c>
    </x:row>
    <x:row r="96">
      <x:c r="A96" s="8" t="str">
        <x:f>IF('Contract Register'!A96="","",'Contract Register'!A96)</x:f>
      </x:c>
      <x:c r="B96" s="8" t="str">
        <x:f>IF('Contract Register'!A96="","",'Contract Register'!B96)</x:f>
      </x:c>
      <x:c r="C96" s="8" t="str">
        <x:f>IF('Contract Register'!A96="","",'Contract Register'!D96)</x:f>
      </x:c>
      <x:c r="D96" s="12" t="str">
        <x:f>IF('Contract Register'!A96="","",'Contract Register'!I96)</x:f>
      </x:c>
      <x:c r="E96" s="12" t="str">
        <x:f>IF('Contract Register'!A96="","",'Contract Register'!J96)</x:f>
      </x:c>
      <x:c r="F96" s="13" t="str">
        <x:f>IF('Contract Register'!A96="","",'Contract Register'!K96)</x:f>
      </x:c>
      <x:c r="G96" s="8" t="str">
        <x:f>IF('Contract Register'!A96="","",'Contract Register'!L96)</x:f>
      </x:c>
      <x:c r="H96" s="8" t="str">
        <x:f>IF(A96="","",IF(F96&lt;=30,"Escalate now",IF(F96&lt;=90,"Prepare renewal decision","Monitor")))</x:f>
      </x:c>
    </x:row>
    <x:row r="97">
      <x:c r="A97" s="8" t="str">
        <x:f>IF('Contract Register'!A97="","",'Contract Register'!A97)</x:f>
      </x:c>
      <x:c r="B97" s="8" t="str">
        <x:f>IF('Contract Register'!A97="","",'Contract Register'!B97)</x:f>
      </x:c>
      <x:c r="C97" s="8" t="str">
        <x:f>IF('Contract Register'!A97="","",'Contract Register'!D97)</x:f>
      </x:c>
      <x:c r="D97" s="12" t="str">
        <x:f>IF('Contract Register'!A97="","",'Contract Register'!I97)</x:f>
      </x:c>
      <x:c r="E97" s="12" t="str">
        <x:f>IF('Contract Register'!A97="","",'Contract Register'!J97)</x:f>
      </x:c>
      <x:c r="F97" s="13" t="str">
        <x:f>IF('Contract Register'!A97="","",'Contract Register'!K97)</x:f>
      </x:c>
      <x:c r="G97" s="8" t="str">
        <x:f>IF('Contract Register'!A97="","",'Contract Register'!L97)</x:f>
      </x:c>
      <x:c r="H97" s="8" t="str">
        <x:f>IF(A97="","",IF(F97&lt;=30,"Escalate now",IF(F97&lt;=90,"Prepare renewal decision","Monitor")))</x:f>
      </x:c>
    </x:row>
    <x:row r="98">
      <x:c r="A98" s="8" t="str">
        <x:f>IF('Contract Register'!A98="","",'Contract Register'!A98)</x:f>
      </x:c>
      <x:c r="B98" s="8" t="str">
        <x:f>IF('Contract Register'!A98="","",'Contract Register'!B98)</x:f>
      </x:c>
      <x:c r="C98" s="8" t="str">
        <x:f>IF('Contract Register'!A98="","",'Contract Register'!D98)</x:f>
      </x:c>
      <x:c r="D98" s="12" t="str">
        <x:f>IF('Contract Register'!A98="","",'Contract Register'!I98)</x:f>
      </x:c>
      <x:c r="E98" s="12" t="str">
        <x:f>IF('Contract Register'!A98="","",'Contract Register'!J98)</x:f>
      </x:c>
      <x:c r="F98" s="13" t="str">
        <x:f>IF('Contract Register'!A98="","",'Contract Register'!K98)</x:f>
      </x:c>
      <x:c r="G98" s="8" t="str">
        <x:f>IF('Contract Register'!A98="","",'Contract Register'!L98)</x:f>
      </x:c>
      <x:c r="H98" s="8" t="str">
        <x:f>IF(A98="","",IF(F98&lt;=30,"Escalate now",IF(F98&lt;=90,"Prepare renewal decision","Monitor")))</x:f>
      </x:c>
    </x:row>
    <x:row r="99">
      <x:c r="A99" s="8" t="str">
        <x:f>IF('Contract Register'!A99="","",'Contract Register'!A99)</x:f>
      </x:c>
      <x:c r="B99" s="8" t="str">
        <x:f>IF('Contract Register'!A99="","",'Contract Register'!B99)</x:f>
      </x:c>
      <x:c r="C99" s="8" t="str">
        <x:f>IF('Contract Register'!A99="","",'Contract Register'!D99)</x:f>
      </x:c>
      <x:c r="D99" s="12" t="str">
        <x:f>IF('Contract Register'!A99="","",'Contract Register'!I99)</x:f>
      </x:c>
      <x:c r="E99" s="12" t="str">
        <x:f>IF('Contract Register'!A99="","",'Contract Register'!J99)</x:f>
      </x:c>
      <x:c r="F99" s="13" t="str">
        <x:f>IF('Contract Register'!A99="","",'Contract Register'!K99)</x:f>
      </x:c>
      <x:c r="G99" s="8" t="str">
        <x:f>IF('Contract Register'!A99="","",'Contract Register'!L99)</x:f>
      </x:c>
      <x:c r="H99" s="8" t="str">
        <x:f>IF(A99="","",IF(F99&lt;=30,"Escalate now",IF(F99&lt;=90,"Prepare renewal decision","Monitor")))</x:f>
      </x:c>
    </x:row>
    <x:row r="100">
      <x:c r="A100" s="8" t="str">
        <x:f>IF('Contract Register'!A100="","",'Contract Register'!A100)</x:f>
      </x:c>
      <x:c r="B100" s="8" t="str">
        <x:f>IF('Contract Register'!A100="","",'Contract Register'!B100)</x:f>
      </x:c>
      <x:c r="C100" s="8" t="str">
        <x:f>IF('Contract Register'!A100="","",'Contract Register'!D100)</x:f>
      </x:c>
      <x:c r="D100" s="12" t="str">
        <x:f>IF('Contract Register'!A100="","",'Contract Register'!I100)</x:f>
      </x:c>
      <x:c r="E100" s="12" t="str">
        <x:f>IF('Contract Register'!A100="","",'Contract Register'!J100)</x:f>
      </x:c>
      <x:c r="F100" s="13" t="str">
        <x:f>IF('Contract Register'!A100="","",'Contract Register'!K100)</x:f>
      </x:c>
      <x:c r="G100" s="8" t="str">
        <x:f>IF('Contract Register'!A100="","",'Contract Register'!L100)</x:f>
      </x:c>
      <x:c r="H100" s="8" t="str">
        <x:f>IF(A100="","",IF(F100&lt;=30,"Escalate now",IF(F100&lt;=90,"Prepare renewal decision","Monitor")))</x:f>
      </x:c>
    </x:row>
    <x:row r="101">
      <x:c r="A101" s="8" t="str">
        <x:f>IF('Contract Register'!A101="","",'Contract Register'!A101)</x:f>
      </x:c>
      <x:c r="B101" s="8" t="str">
        <x:f>IF('Contract Register'!A101="","",'Contract Register'!B101)</x:f>
      </x:c>
      <x:c r="C101" s="8" t="str">
        <x:f>IF('Contract Register'!A101="","",'Contract Register'!D101)</x:f>
      </x:c>
      <x:c r="D101" s="12" t="str">
        <x:f>IF('Contract Register'!A101="","",'Contract Register'!I101)</x:f>
      </x:c>
      <x:c r="E101" s="12" t="str">
        <x:f>IF('Contract Register'!A101="","",'Contract Register'!J101)</x:f>
      </x:c>
      <x:c r="F101" s="13" t="str">
        <x:f>IF('Contract Register'!A101="","",'Contract Register'!K101)</x:f>
      </x:c>
      <x:c r="G101" s="8" t="str">
        <x:f>IF('Contract Register'!A101="","",'Contract Register'!L101)</x:f>
      </x:c>
      <x:c r="H101" s="8" t="str">
        <x:f>IF(A101="","",IF(F101&lt;=30,"Escalate now",IF(F101&lt;=90,"Prepare renewal decision","Monitor")))</x:f>
      </x:c>
    </x:row>
    <x:row r="102">
      <x:c r="A102" s="8" t="str">
        <x:f>IF('Contract Register'!A102="","",'Contract Register'!A102)</x:f>
      </x:c>
      <x:c r="B102" s="8" t="str">
        <x:f>IF('Contract Register'!A102="","",'Contract Register'!B102)</x:f>
      </x:c>
      <x:c r="C102" s="8" t="str">
        <x:f>IF('Contract Register'!A102="","",'Contract Register'!D102)</x:f>
      </x:c>
      <x:c r="D102" s="12" t="str">
        <x:f>IF('Contract Register'!A102="","",'Contract Register'!I102)</x:f>
      </x:c>
      <x:c r="E102" s="12" t="str">
        <x:f>IF('Contract Register'!A102="","",'Contract Register'!J102)</x:f>
      </x:c>
      <x:c r="F102" s="13" t="str">
        <x:f>IF('Contract Register'!A102="","",'Contract Register'!K102)</x:f>
      </x:c>
      <x:c r="G102" s="8" t="str">
        <x:f>IF('Contract Register'!A102="","",'Contract Register'!L102)</x:f>
      </x:c>
      <x:c r="H102" s="8" t="str">
        <x:f>IF(A102="","",IF(F102&lt;=30,"Escalate now",IF(F102&lt;=90,"Prepare renewal decision","Monitor")))</x:f>
      </x:c>
    </x:row>
    <x:row r="103">
      <x:c r="A103" s="8" t="str">
        <x:f>IF('Contract Register'!A103="","",'Contract Register'!A103)</x:f>
      </x:c>
      <x:c r="B103" s="8" t="str">
        <x:f>IF('Contract Register'!A103="","",'Contract Register'!B103)</x:f>
      </x:c>
      <x:c r="C103" s="8" t="str">
        <x:f>IF('Contract Register'!A103="","",'Contract Register'!D103)</x:f>
      </x:c>
      <x:c r="D103" s="12" t="str">
        <x:f>IF('Contract Register'!A103="","",'Contract Register'!I103)</x:f>
      </x:c>
      <x:c r="E103" s="12" t="str">
        <x:f>IF('Contract Register'!A103="","",'Contract Register'!J103)</x:f>
      </x:c>
      <x:c r="F103" s="13" t="str">
        <x:f>IF('Contract Register'!A103="","",'Contract Register'!K103)</x:f>
      </x:c>
      <x:c r="G103" s="8" t="str">
        <x:f>IF('Contract Register'!A103="","",'Contract Register'!L103)</x:f>
      </x:c>
      <x:c r="H103" s="8" t="str">
        <x:f>IF(A103="","",IF(F103&lt;=30,"Escalate now",IF(F103&lt;=90,"Prepare renewal decision","Monitor")))</x:f>
      </x:c>
    </x:row>
    <x:row r="104">
      <x:c r="A104" s="8" t="str">
        <x:f>IF('Contract Register'!A104="","",'Contract Register'!A104)</x:f>
      </x:c>
      <x:c r="B104" s="8" t="str">
        <x:f>IF('Contract Register'!A104="","",'Contract Register'!B104)</x:f>
      </x:c>
      <x:c r="C104" s="8" t="str">
        <x:f>IF('Contract Register'!A104="","",'Contract Register'!D104)</x:f>
      </x:c>
      <x:c r="D104" s="12" t="str">
        <x:f>IF('Contract Register'!A104="","",'Contract Register'!I104)</x:f>
      </x:c>
      <x:c r="E104" s="12" t="str">
        <x:f>IF('Contract Register'!A104="","",'Contract Register'!J104)</x:f>
      </x:c>
      <x:c r="F104" s="13" t="str">
        <x:f>IF('Contract Register'!A104="","",'Contract Register'!K104)</x:f>
      </x:c>
      <x:c r="G104" s="8" t="str">
        <x:f>IF('Contract Register'!A104="","",'Contract Register'!L104)</x:f>
      </x:c>
      <x:c r="H104" s="8" t="str">
        <x:f>IF(A104="","",IF(F104&lt;=30,"Escalate now",IF(F104&lt;=90,"Prepare renewal decision","Monitor")))</x:f>
      </x:c>
    </x:row>
    <x:row r="105">
      <x:c r="A105" s="8" t="str">
        <x:f>IF('Contract Register'!A105="","",'Contract Register'!A105)</x:f>
      </x:c>
      <x:c r="B105" s="8" t="str">
        <x:f>IF('Contract Register'!A105="","",'Contract Register'!B105)</x:f>
      </x:c>
      <x:c r="C105" s="8" t="str">
        <x:f>IF('Contract Register'!A105="","",'Contract Register'!D105)</x:f>
      </x:c>
      <x:c r="D105" s="12" t="str">
        <x:f>IF('Contract Register'!A105="","",'Contract Register'!I105)</x:f>
      </x:c>
      <x:c r="E105" s="12" t="str">
        <x:f>IF('Contract Register'!A105="","",'Contract Register'!J105)</x:f>
      </x:c>
      <x:c r="F105" s="13" t="str">
        <x:f>IF('Contract Register'!A105="","",'Contract Register'!K105)</x:f>
      </x:c>
      <x:c r="G105" s="8" t="str">
        <x:f>IF('Contract Register'!A105="","",'Contract Register'!L105)</x:f>
      </x:c>
      <x:c r="H105" s="8" t="str">
        <x:f>IF(A105="","",IF(F105&lt;=30,"Escalate now",IF(F105&lt;=90,"Prepare renewal decision","Monitor")))</x:f>
      </x:c>
    </x:row>
    <x:row r="106">
      <x:c r="A106" s="8" t="str">
        <x:f>IF('Contract Register'!A106="","",'Contract Register'!A106)</x:f>
      </x:c>
      <x:c r="B106" s="8" t="str">
        <x:f>IF('Contract Register'!A106="","",'Contract Register'!B106)</x:f>
      </x:c>
      <x:c r="C106" s="8" t="str">
        <x:f>IF('Contract Register'!A106="","",'Contract Register'!D106)</x:f>
      </x:c>
      <x:c r="D106" s="12" t="str">
        <x:f>IF('Contract Register'!A106="","",'Contract Register'!I106)</x:f>
      </x:c>
      <x:c r="E106" s="12" t="str">
        <x:f>IF('Contract Register'!A106="","",'Contract Register'!J106)</x:f>
      </x:c>
      <x:c r="F106" s="13" t="str">
        <x:f>IF('Contract Register'!A106="","",'Contract Register'!K106)</x:f>
      </x:c>
      <x:c r="G106" s="8" t="str">
        <x:f>IF('Contract Register'!A106="","",'Contract Register'!L106)</x:f>
      </x:c>
      <x:c r="H106" s="8" t="str">
        <x:f>IF(A106="","",IF(F106&lt;=30,"Escalate now",IF(F106&lt;=90,"Prepare renewal decision","Monitor")))</x:f>
      </x:c>
    </x:row>
    <x:row r="107">
      <x:c r="A107" s="8" t="str">
        <x:f>IF('Contract Register'!A107="","",'Contract Register'!A107)</x:f>
      </x:c>
      <x:c r="B107" s="8" t="str">
        <x:f>IF('Contract Register'!A107="","",'Contract Register'!B107)</x:f>
      </x:c>
      <x:c r="C107" s="8" t="str">
        <x:f>IF('Contract Register'!A107="","",'Contract Register'!D107)</x:f>
      </x:c>
      <x:c r="D107" s="12" t="str">
        <x:f>IF('Contract Register'!A107="","",'Contract Register'!I107)</x:f>
      </x:c>
      <x:c r="E107" s="12" t="str">
        <x:f>IF('Contract Register'!A107="","",'Contract Register'!J107)</x:f>
      </x:c>
      <x:c r="F107" s="13" t="str">
        <x:f>IF('Contract Register'!A107="","",'Contract Register'!K107)</x:f>
      </x:c>
      <x:c r="G107" s="8" t="str">
        <x:f>IF('Contract Register'!A107="","",'Contract Register'!L107)</x:f>
      </x:c>
      <x:c r="H107" s="8" t="str">
        <x:f>IF(A107="","",IF(F107&lt;=30,"Escalate now",IF(F107&lt;=90,"Prepare renewal decision","Monitor")))</x:f>
      </x:c>
    </x:row>
    <x:row r="108">
      <x:c r="A108" s="8" t="str">
        <x:f>IF('Contract Register'!A108="","",'Contract Register'!A108)</x:f>
      </x:c>
      <x:c r="B108" s="8" t="str">
        <x:f>IF('Contract Register'!A108="","",'Contract Register'!B108)</x:f>
      </x:c>
      <x:c r="C108" s="8" t="str">
        <x:f>IF('Contract Register'!A108="","",'Contract Register'!D108)</x:f>
      </x:c>
      <x:c r="D108" s="12" t="str">
        <x:f>IF('Contract Register'!A108="","",'Contract Register'!I108)</x:f>
      </x:c>
      <x:c r="E108" s="12" t="str">
        <x:f>IF('Contract Register'!A108="","",'Contract Register'!J108)</x:f>
      </x:c>
      <x:c r="F108" s="13" t="str">
        <x:f>IF('Contract Register'!A108="","",'Contract Register'!K108)</x:f>
      </x:c>
      <x:c r="G108" s="8" t="str">
        <x:f>IF('Contract Register'!A108="","",'Contract Register'!L108)</x:f>
      </x:c>
      <x:c r="H108" s="8" t="str">
        <x:f>IF(A108="","",IF(F108&lt;=30,"Escalate now",IF(F108&lt;=90,"Prepare renewal decision","Monitor")))</x:f>
      </x:c>
    </x:row>
    <x:row r="109">
      <x:c r="A109" s="8" t="str">
        <x:f>IF('Contract Register'!A109="","",'Contract Register'!A109)</x:f>
      </x:c>
      <x:c r="B109" s="8" t="str">
        <x:f>IF('Contract Register'!A109="","",'Contract Register'!B109)</x:f>
      </x:c>
      <x:c r="C109" s="8" t="str">
        <x:f>IF('Contract Register'!A109="","",'Contract Register'!D109)</x:f>
      </x:c>
      <x:c r="D109" s="12" t="str">
        <x:f>IF('Contract Register'!A109="","",'Contract Register'!I109)</x:f>
      </x:c>
      <x:c r="E109" s="12" t="str">
        <x:f>IF('Contract Register'!A109="","",'Contract Register'!J109)</x:f>
      </x:c>
      <x:c r="F109" s="13" t="str">
        <x:f>IF('Contract Register'!A109="","",'Contract Register'!K109)</x:f>
      </x:c>
      <x:c r="G109" s="8" t="str">
        <x:f>IF('Contract Register'!A109="","",'Contract Register'!L109)</x:f>
      </x:c>
      <x:c r="H109" s="8" t="str">
        <x:f>IF(A109="","",IF(F109&lt;=30,"Escalate now",IF(F109&lt;=90,"Prepare renewal decision","Monitor")))</x:f>
      </x:c>
    </x:row>
    <x:row r="110">
      <x:c r="A110" s="8" t="str">
        <x:f>IF('Contract Register'!A110="","",'Contract Register'!A110)</x:f>
      </x:c>
      <x:c r="B110" s="8" t="str">
        <x:f>IF('Contract Register'!A110="","",'Contract Register'!B110)</x:f>
      </x:c>
      <x:c r="C110" s="8" t="str">
        <x:f>IF('Contract Register'!A110="","",'Contract Register'!D110)</x:f>
      </x:c>
      <x:c r="D110" s="12" t="str">
        <x:f>IF('Contract Register'!A110="","",'Contract Register'!I110)</x:f>
      </x:c>
      <x:c r="E110" s="12" t="str">
        <x:f>IF('Contract Register'!A110="","",'Contract Register'!J110)</x:f>
      </x:c>
      <x:c r="F110" s="13" t="str">
        <x:f>IF('Contract Register'!A110="","",'Contract Register'!K110)</x:f>
      </x:c>
      <x:c r="G110" s="8" t="str">
        <x:f>IF('Contract Register'!A110="","",'Contract Register'!L110)</x:f>
      </x:c>
      <x:c r="H110" s="8" t="str">
        <x:f>IF(A110="","",IF(F110&lt;=30,"Escalate now",IF(F110&lt;=90,"Prepare renewal decision","Monitor")))</x:f>
      </x:c>
    </x:row>
    <x:row r="111">
      <x:c r="A111" s="8" t="str">
        <x:f>IF('Contract Register'!A111="","",'Contract Register'!A111)</x:f>
      </x:c>
      <x:c r="B111" s="8" t="str">
        <x:f>IF('Contract Register'!A111="","",'Contract Register'!B111)</x:f>
      </x:c>
      <x:c r="C111" s="8" t="str">
        <x:f>IF('Contract Register'!A111="","",'Contract Register'!D111)</x:f>
      </x:c>
      <x:c r="D111" s="12" t="str">
        <x:f>IF('Contract Register'!A111="","",'Contract Register'!I111)</x:f>
      </x:c>
      <x:c r="E111" s="12" t="str">
        <x:f>IF('Contract Register'!A111="","",'Contract Register'!J111)</x:f>
      </x:c>
      <x:c r="F111" s="13" t="str">
        <x:f>IF('Contract Register'!A111="","",'Contract Register'!K111)</x:f>
      </x:c>
      <x:c r="G111" s="8" t="str">
        <x:f>IF('Contract Register'!A111="","",'Contract Register'!L111)</x:f>
      </x:c>
      <x:c r="H111" s="8" t="str">
        <x:f>IF(A111="","",IF(F111&lt;=30,"Escalate now",IF(F111&lt;=90,"Prepare renewal decision","Monitor")))</x:f>
      </x:c>
    </x:row>
    <x:row r="112">
      <x:c r="A112" s="8" t="str">
        <x:f>IF('Contract Register'!A112="","",'Contract Register'!A112)</x:f>
      </x:c>
      <x:c r="B112" s="8" t="str">
        <x:f>IF('Contract Register'!A112="","",'Contract Register'!B112)</x:f>
      </x:c>
      <x:c r="C112" s="8" t="str">
        <x:f>IF('Contract Register'!A112="","",'Contract Register'!D112)</x:f>
      </x:c>
      <x:c r="D112" s="12" t="str">
        <x:f>IF('Contract Register'!A112="","",'Contract Register'!I112)</x:f>
      </x:c>
      <x:c r="E112" s="12" t="str">
        <x:f>IF('Contract Register'!A112="","",'Contract Register'!J112)</x:f>
      </x:c>
      <x:c r="F112" s="13" t="str">
        <x:f>IF('Contract Register'!A112="","",'Contract Register'!K112)</x:f>
      </x:c>
      <x:c r="G112" s="8" t="str">
        <x:f>IF('Contract Register'!A112="","",'Contract Register'!L112)</x:f>
      </x:c>
      <x:c r="H112" s="8" t="str">
        <x:f>IF(A112="","",IF(F112&lt;=30,"Escalate now",IF(F112&lt;=90,"Prepare renewal decision","Monitor")))</x:f>
      </x:c>
    </x:row>
    <x:row r="113">
      <x:c r="A113" s="8" t="str">
        <x:f>IF('Contract Register'!A113="","",'Contract Register'!A113)</x:f>
      </x:c>
      <x:c r="B113" s="8" t="str">
        <x:f>IF('Contract Register'!A113="","",'Contract Register'!B113)</x:f>
      </x:c>
      <x:c r="C113" s="8" t="str">
        <x:f>IF('Contract Register'!A113="","",'Contract Register'!D113)</x:f>
      </x:c>
      <x:c r="D113" s="12" t="str">
        <x:f>IF('Contract Register'!A113="","",'Contract Register'!I113)</x:f>
      </x:c>
      <x:c r="E113" s="12" t="str">
        <x:f>IF('Contract Register'!A113="","",'Contract Register'!J113)</x:f>
      </x:c>
      <x:c r="F113" s="13" t="str">
        <x:f>IF('Contract Register'!A113="","",'Contract Register'!K113)</x:f>
      </x:c>
      <x:c r="G113" s="8" t="str">
        <x:f>IF('Contract Register'!A113="","",'Contract Register'!L113)</x:f>
      </x:c>
      <x:c r="H113" s="8" t="str">
        <x:f>IF(A113="","",IF(F113&lt;=30,"Escalate now",IF(F113&lt;=90,"Prepare renewal decision","Monitor")))</x:f>
      </x:c>
    </x:row>
    <x:row r="114">
      <x:c r="A114" s="8" t="str">
        <x:f>IF('Contract Register'!A114="","",'Contract Register'!A114)</x:f>
      </x:c>
      <x:c r="B114" s="8" t="str">
        <x:f>IF('Contract Register'!A114="","",'Contract Register'!B114)</x:f>
      </x:c>
      <x:c r="C114" s="8" t="str">
        <x:f>IF('Contract Register'!A114="","",'Contract Register'!D114)</x:f>
      </x:c>
      <x:c r="D114" s="12" t="str">
        <x:f>IF('Contract Register'!A114="","",'Contract Register'!I114)</x:f>
      </x:c>
      <x:c r="E114" s="12" t="str">
        <x:f>IF('Contract Register'!A114="","",'Contract Register'!J114)</x:f>
      </x:c>
      <x:c r="F114" s="13" t="str">
        <x:f>IF('Contract Register'!A114="","",'Contract Register'!K114)</x:f>
      </x:c>
      <x:c r="G114" s="8" t="str">
        <x:f>IF('Contract Register'!A114="","",'Contract Register'!L114)</x:f>
      </x:c>
      <x:c r="H114" s="8" t="str">
        <x:f>IF(A114="","",IF(F114&lt;=30,"Escalate now",IF(F114&lt;=90,"Prepare renewal decision","Monitor")))</x:f>
      </x:c>
    </x:row>
    <x:row r="115">
      <x:c r="A115" s="8" t="str">
        <x:f>IF('Contract Register'!A115="","",'Contract Register'!A115)</x:f>
      </x:c>
      <x:c r="B115" s="8" t="str">
        <x:f>IF('Contract Register'!A115="","",'Contract Register'!B115)</x:f>
      </x:c>
      <x:c r="C115" s="8" t="str">
        <x:f>IF('Contract Register'!A115="","",'Contract Register'!D115)</x:f>
      </x:c>
      <x:c r="D115" s="12" t="str">
        <x:f>IF('Contract Register'!A115="","",'Contract Register'!I115)</x:f>
      </x:c>
      <x:c r="E115" s="12" t="str">
        <x:f>IF('Contract Register'!A115="","",'Contract Register'!J115)</x:f>
      </x:c>
      <x:c r="F115" s="13" t="str">
        <x:f>IF('Contract Register'!A115="","",'Contract Register'!K115)</x:f>
      </x:c>
      <x:c r="G115" s="8" t="str">
        <x:f>IF('Contract Register'!A115="","",'Contract Register'!L115)</x:f>
      </x:c>
      <x:c r="H115" s="8" t="str">
        <x:f>IF(A115="","",IF(F115&lt;=30,"Escalate now",IF(F115&lt;=90,"Prepare renewal decision","Monitor")))</x:f>
      </x:c>
    </x:row>
    <x:row r="116">
      <x:c r="A116" s="8" t="str">
        <x:f>IF('Contract Register'!A116="","",'Contract Register'!A116)</x:f>
      </x:c>
      <x:c r="B116" s="8" t="str">
        <x:f>IF('Contract Register'!A116="","",'Contract Register'!B116)</x:f>
      </x:c>
      <x:c r="C116" s="8" t="str">
        <x:f>IF('Contract Register'!A116="","",'Contract Register'!D116)</x:f>
      </x:c>
      <x:c r="D116" s="12" t="str">
        <x:f>IF('Contract Register'!A116="","",'Contract Register'!I116)</x:f>
      </x:c>
      <x:c r="E116" s="12" t="str">
        <x:f>IF('Contract Register'!A116="","",'Contract Register'!J116)</x:f>
      </x:c>
      <x:c r="F116" s="13" t="str">
        <x:f>IF('Contract Register'!A116="","",'Contract Register'!K116)</x:f>
      </x:c>
      <x:c r="G116" s="8" t="str">
        <x:f>IF('Contract Register'!A116="","",'Contract Register'!L116)</x:f>
      </x:c>
      <x:c r="H116" s="8" t="str">
        <x:f>IF(A116="","",IF(F116&lt;=30,"Escalate now",IF(F116&lt;=90,"Prepare renewal decision","Monitor")))</x:f>
      </x:c>
    </x:row>
    <x:row r="117">
      <x:c r="A117" s="8" t="str">
        <x:f>IF('Contract Register'!A117="","",'Contract Register'!A117)</x:f>
      </x:c>
      <x:c r="B117" s="8" t="str">
        <x:f>IF('Contract Register'!A117="","",'Contract Register'!B117)</x:f>
      </x:c>
      <x:c r="C117" s="8" t="str">
        <x:f>IF('Contract Register'!A117="","",'Contract Register'!D117)</x:f>
      </x:c>
      <x:c r="D117" s="12" t="str">
        <x:f>IF('Contract Register'!A117="","",'Contract Register'!I117)</x:f>
      </x:c>
      <x:c r="E117" s="12" t="str">
        <x:f>IF('Contract Register'!A117="","",'Contract Register'!J117)</x:f>
      </x:c>
      <x:c r="F117" s="13" t="str">
        <x:f>IF('Contract Register'!A117="","",'Contract Register'!K117)</x:f>
      </x:c>
      <x:c r="G117" s="8" t="str">
        <x:f>IF('Contract Register'!A117="","",'Contract Register'!L117)</x:f>
      </x:c>
      <x:c r="H117" s="8" t="str">
        <x:f>IF(A117="","",IF(F117&lt;=30,"Escalate now",IF(F117&lt;=90,"Prepare renewal decision","Monitor")))</x:f>
      </x:c>
    </x:row>
    <x:row r="118">
      <x:c r="A118" s="8" t="str">
        <x:f>IF('Contract Register'!A118="","",'Contract Register'!A118)</x:f>
      </x:c>
      <x:c r="B118" s="8" t="str">
        <x:f>IF('Contract Register'!A118="","",'Contract Register'!B118)</x:f>
      </x:c>
      <x:c r="C118" s="8" t="str">
        <x:f>IF('Contract Register'!A118="","",'Contract Register'!D118)</x:f>
      </x:c>
      <x:c r="D118" s="12" t="str">
        <x:f>IF('Contract Register'!A118="","",'Contract Register'!I118)</x:f>
      </x:c>
      <x:c r="E118" s="12" t="str">
        <x:f>IF('Contract Register'!A118="","",'Contract Register'!J118)</x:f>
      </x:c>
      <x:c r="F118" s="13" t="str">
        <x:f>IF('Contract Register'!A118="","",'Contract Register'!K118)</x:f>
      </x:c>
      <x:c r="G118" s="8" t="str">
        <x:f>IF('Contract Register'!A118="","",'Contract Register'!L118)</x:f>
      </x:c>
      <x:c r="H118" s="8" t="str">
        <x:f>IF(A118="","",IF(F118&lt;=30,"Escalate now",IF(F118&lt;=90,"Prepare renewal decision","Monitor")))</x:f>
      </x:c>
    </x:row>
    <x:row r="119">
      <x:c r="A119" s="8" t="str">
        <x:f>IF('Contract Register'!A119="","",'Contract Register'!A119)</x:f>
      </x:c>
      <x:c r="B119" s="8" t="str">
        <x:f>IF('Contract Register'!A119="","",'Contract Register'!B119)</x:f>
      </x:c>
      <x:c r="C119" s="8" t="str">
        <x:f>IF('Contract Register'!A119="","",'Contract Register'!D119)</x:f>
      </x:c>
      <x:c r="D119" s="12" t="str">
        <x:f>IF('Contract Register'!A119="","",'Contract Register'!I119)</x:f>
      </x:c>
      <x:c r="E119" s="12" t="str">
        <x:f>IF('Contract Register'!A119="","",'Contract Register'!J119)</x:f>
      </x:c>
      <x:c r="F119" s="13" t="str">
        <x:f>IF('Contract Register'!A119="","",'Contract Register'!K119)</x:f>
      </x:c>
      <x:c r="G119" s="8" t="str">
        <x:f>IF('Contract Register'!A119="","",'Contract Register'!L119)</x:f>
      </x:c>
      <x:c r="H119" s="8" t="str">
        <x:f>IF(A119="","",IF(F119&lt;=30,"Escalate now",IF(F119&lt;=90,"Prepare renewal decision","Monitor")))</x:f>
      </x:c>
    </x:row>
    <x:row r="120">
      <x:c r="A120" s="8" t="str">
        <x:f>IF('Contract Register'!A120="","",'Contract Register'!A120)</x:f>
      </x:c>
      <x:c r="B120" s="8" t="str">
        <x:f>IF('Contract Register'!A120="","",'Contract Register'!B120)</x:f>
      </x:c>
      <x:c r="C120" s="8" t="str">
        <x:f>IF('Contract Register'!A120="","",'Contract Register'!D120)</x:f>
      </x:c>
      <x:c r="D120" s="12" t="str">
        <x:f>IF('Contract Register'!A120="","",'Contract Register'!I120)</x:f>
      </x:c>
      <x:c r="E120" s="12" t="str">
        <x:f>IF('Contract Register'!A120="","",'Contract Register'!J120)</x:f>
      </x:c>
      <x:c r="F120" s="13" t="str">
        <x:f>IF('Contract Register'!A120="","",'Contract Register'!K120)</x:f>
      </x:c>
      <x:c r="G120" s="8" t="str">
        <x:f>IF('Contract Register'!A120="","",'Contract Register'!L120)</x:f>
      </x:c>
      <x:c r="H120" s="8" t="str">
        <x:f>IF(A120="","",IF(F120&lt;=30,"Escalate now",IF(F120&lt;=90,"Prepare renewal decision","Monitor")))</x:f>
      </x:c>
    </x:row>
    <x:row r="121">
      <x:c r="A121" s="8" t="str">
        <x:f>IF('Contract Register'!A121="","",'Contract Register'!A121)</x:f>
      </x:c>
      <x:c r="B121" s="8" t="str">
        <x:f>IF('Contract Register'!A121="","",'Contract Register'!B121)</x:f>
      </x:c>
      <x:c r="C121" s="8" t="str">
        <x:f>IF('Contract Register'!A121="","",'Contract Register'!D121)</x:f>
      </x:c>
      <x:c r="D121" s="12" t="str">
        <x:f>IF('Contract Register'!A121="","",'Contract Register'!I121)</x:f>
      </x:c>
      <x:c r="E121" s="12" t="str">
        <x:f>IF('Contract Register'!A121="","",'Contract Register'!J121)</x:f>
      </x:c>
      <x:c r="F121" s="13" t="str">
        <x:f>IF('Contract Register'!A121="","",'Contract Register'!K121)</x:f>
      </x:c>
      <x:c r="G121" s="8" t="str">
        <x:f>IF('Contract Register'!A121="","",'Contract Register'!L121)</x:f>
      </x:c>
      <x:c r="H121" s="8" t="str">
        <x:f>IF(A121="","",IF(F121&lt;=30,"Escalate now",IF(F121&lt;=90,"Prepare renewal decision","Monitor")))</x:f>
      </x:c>
    </x:row>
    <x:row r="122">
      <x:c r="A122" s="8" t="str">
        <x:f>IF('Contract Register'!A122="","",'Contract Register'!A122)</x:f>
      </x:c>
      <x:c r="B122" s="8" t="str">
        <x:f>IF('Contract Register'!A122="","",'Contract Register'!B122)</x:f>
      </x:c>
      <x:c r="C122" s="8" t="str">
        <x:f>IF('Contract Register'!A122="","",'Contract Register'!D122)</x:f>
      </x:c>
      <x:c r="D122" s="12" t="str">
        <x:f>IF('Contract Register'!A122="","",'Contract Register'!I122)</x:f>
      </x:c>
      <x:c r="E122" s="12" t="str">
        <x:f>IF('Contract Register'!A122="","",'Contract Register'!J122)</x:f>
      </x:c>
      <x:c r="F122" s="13" t="str">
        <x:f>IF('Contract Register'!A122="","",'Contract Register'!K122)</x:f>
      </x:c>
      <x:c r="G122" s="8" t="str">
        <x:f>IF('Contract Register'!A122="","",'Contract Register'!L122)</x:f>
      </x:c>
      <x:c r="H122" s="8" t="str">
        <x:f>IF(A122="","",IF(F122&lt;=30,"Escalate now",IF(F122&lt;=90,"Prepare renewal decision","Monitor")))</x:f>
      </x:c>
    </x:row>
    <x:row r="123">
      <x:c r="A123" s="8" t="str">
        <x:f>IF('Contract Register'!A123="","",'Contract Register'!A123)</x:f>
      </x:c>
      <x:c r="B123" s="8" t="str">
        <x:f>IF('Contract Register'!A123="","",'Contract Register'!B123)</x:f>
      </x:c>
      <x:c r="C123" s="8" t="str">
        <x:f>IF('Contract Register'!A123="","",'Contract Register'!D123)</x:f>
      </x:c>
      <x:c r="D123" s="12" t="str">
        <x:f>IF('Contract Register'!A123="","",'Contract Register'!I123)</x:f>
      </x:c>
      <x:c r="E123" s="12" t="str">
        <x:f>IF('Contract Register'!A123="","",'Contract Register'!J123)</x:f>
      </x:c>
      <x:c r="F123" s="13" t="str">
        <x:f>IF('Contract Register'!A123="","",'Contract Register'!K123)</x:f>
      </x:c>
      <x:c r="G123" s="8" t="str">
        <x:f>IF('Contract Register'!A123="","",'Contract Register'!L123)</x:f>
      </x:c>
      <x:c r="H123" s="8" t="str">
        <x:f>IF(A123="","",IF(F123&lt;=30,"Escalate now",IF(F123&lt;=90,"Prepare renewal decision","Monitor")))</x:f>
      </x:c>
    </x:row>
    <x:row r="124">
      <x:c r="A124" s="8" t="str">
        <x:f>IF('Contract Register'!A124="","",'Contract Register'!A124)</x:f>
      </x:c>
      <x:c r="B124" s="8" t="str">
        <x:f>IF('Contract Register'!A124="","",'Contract Register'!B124)</x:f>
      </x:c>
      <x:c r="C124" s="8" t="str">
        <x:f>IF('Contract Register'!A124="","",'Contract Register'!D124)</x:f>
      </x:c>
      <x:c r="D124" s="12" t="str">
        <x:f>IF('Contract Register'!A124="","",'Contract Register'!I124)</x:f>
      </x:c>
      <x:c r="E124" s="12" t="str">
        <x:f>IF('Contract Register'!A124="","",'Contract Register'!J124)</x:f>
      </x:c>
      <x:c r="F124" s="13" t="str">
        <x:f>IF('Contract Register'!A124="","",'Contract Register'!K124)</x:f>
      </x:c>
      <x:c r="G124" s="8" t="str">
        <x:f>IF('Contract Register'!A124="","",'Contract Register'!L124)</x:f>
      </x:c>
      <x:c r="H124" s="8" t="str">
        <x:f>IF(A124="","",IF(F124&lt;=30,"Escalate now",IF(F124&lt;=90,"Prepare renewal decision","Monitor")))</x:f>
      </x:c>
    </x:row>
    <x:row r="125">
      <x:c r="A125" s="8" t="str">
        <x:f>IF('Contract Register'!A125="","",'Contract Register'!A125)</x:f>
      </x:c>
      <x:c r="B125" s="8" t="str">
        <x:f>IF('Contract Register'!A125="","",'Contract Register'!B125)</x:f>
      </x:c>
      <x:c r="C125" s="8" t="str">
        <x:f>IF('Contract Register'!A125="","",'Contract Register'!D125)</x:f>
      </x:c>
      <x:c r="D125" s="12" t="str">
        <x:f>IF('Contract Register'!A125="","",'Contract Register'!I125)</x:f>
      </x:c>
      <x:c r="E125" s="12" t="str">
        <x:f>IF('Contract Register'!A125="","",'Contract Register'!J125)</x:f>
      </x:c>
      <x:c r="F125" s="13" t="str">
        <x:f>IF('Contract Register'!A125="","",'Contract Register'!K125)</x:f>
      </x:c>
      <x:c r="G125" s="8" t="str">
        <x:f>IF('Contract Register'!A125="","",'Contract Register'!L125)</x:f>
      </x:c>
      <x:c r="H125" s="8" t="str">
        <x:f>IF(A125="","",IF(F125&lt;=30,"Escalate now",IF(F125&lt;=90,"Prepare renewal decision","Monitor")))</x:f>
      </x:c>
    </x:row>
    <x:row r="126">
      <x:c r="A126" s="8" t="str">
        <x:f>IF('Contract Register'!A126="","",'Contract Register'!A126)</x:f>
      </x:c>
      <x:c r="B126" s="8" t="str">
        <x:f>IF('Contract Register'!A126="","",'Contract Register'!B126)</x:f>
      </x:c>
      <x:c r="C126" s="8" t="str">
        <x:f>IF('Contract Register'!A126="","",'Contract Register'!D126)</x:f>
      </x:c>
      <x:c r="D126" s="12" t="str">
        <x:f>IF('Contract Register'!A126="","",'Contract Register'!I126)</x:f>
      </x:c>
      <x:c r="E126" s="12" t="str">
        <x:f>IF('Contract Register'!A126="","",'Contract Register'!J126)</x:f>
      </x:c>
      <x:c r="F126" s="13" t="str">
        <x:f>IF('Contract Register'!A126="","",'Contract Register'!K126)</x:f>
      </x:c>
      <x:c r="G126" s="8" t="str">
        <x:f>IF('Contract Register'!A126="","",'Contract Register'!L126)</x:f>
      </x:c>
      <x:c r="H126" s="8" t="str">
        <x:f>IF(A126="","",IF(F126&lt;=30,"Escalate now",IF(F126&lt;=90,"Prepare renewal decision","Monitor")))</x:f>
      </x:c>
    </x:row>
    <x:row r="127">
      <x:c r="A127" s="8" t="str">
        <x:f>IF('Contract Register'!A127="","",'Contract Register'!A127)</x:f>
      </x:c>
      <x:c r="B127" s="8" t="str">
        <x:f>IF('Contract Register'!A127="","",'Contract Register'!B127)</x:f>
      </x:c>
      <x:c r="C127" s="8" t="str">
        <x:f>IF('Contract Register'!A127="","",'Contract Register'!D127)</x:f>
      </x:c>
      <x:c r="D127" s="12" t="str">
        <x:f>IF('Contract Register'!A127="","",'Contract Register'!I127)</x:f>
      </x:c>
      <x:c r="E127" s="12" t="str">
        <x:f>IF('Contract Register'!A127="","",'Contract Register'!J127)</x:f>
      </x:c>
      <x:c r="F127" s="13" t="str">
        <x:f>IF('Contract Register'!A127="","",'Contract Register'!K127)</x:f>
      </x:c>
      <x:c r="G127" s="8" t="str">
        <x:f>IF('Contract Register'!A127="","",'Contract Register'!L127)</x:f>
      </x:c>
      <x:c r="H127" s="8" t="str">
        <x:f>IF(A127="","",IF(F127&lt;=30,"Escalate now",IF(F127&lt;=90,"Prepare renewal decision","Monitor")))</x:f>
      </x:c>
    </x:row>
    <x:row r="128">
      <x:c r="A128" s="8" t="str">
        <x:f>IF('Contract Register'!A128="","",'Contract Register'!A128)</x:f>
      </x:c>
      <x:c r="B128" s="8" t="str">
        <x:f>IF('Contract Register'!A128="","",'Contract Register'!B128)</x:f>
      </x:c>
      <x:c r="C128" s="8" t="str">
        <x:f>IF('Contract Register'!A128="","",'Contract Register'!D128)</x:f>
      </x:c>
      <x:c r="D128" s="12" t="str">
        <x:f>IF('Contract Register'!A128="","",'Contract Register'!I128)</x:f>
      </x:c>
      <x:c r="E128" s="12" t="str">
        <x:f>IF('Contract Register'!A128="","",'Contract Register'!J128)</x:f>
      </x:c>
      <x:c r="F128" s="13" t="str">
        <x:f>IF('Contract Register'!A128="","",'Contract Register'!K128)</x:f>
      </x:c>
      <x:c r="G128" s="8" t="str">
        <x:f>IF('Contract Register'!A128="","",'Contract Register'!L128)</x:f>
      </x:c>
      <x:c r="H128" s="8" t="str">
        <x:f>IF(A128="","",IF(F128&lt;=30,"Escalate now",IF(F128&lt;=90,"Prepare renewal decision","Monitor")))</x:f>
      </x:c>
    </x:row>
    <x:row r="129">
      <x:c r="A129" s="8" t="str">
        <x:f>IF('Contract Register'!A129="","",'Contract Register'!A129)</x:f>
      </x:c>
      <x:c r="B129" s="8" t="str">
        <x:f>IF('Contract Register'!A129="","",'Contract Register'!B129)</x:f>
      </x:c>
      <x:c r="C129" s="8" t="str">
        <x:f>IF('Contract Register'!A129="","",'Contract Register'!D129)</x:f>
      </x:c>
      <x:c r="D129" s="12" t="str">
        <x:f>IF('Contract Register'!A129="","",'Contract Register'!I129)</x:f>
      </x:c>
      <x:c r="E129" s="12" t="str">
        <x:f>IF('Contract Register'!A129="","",'Contract Register'!J129)</x:f>
      </x:c>
      <x:c r="F129" s="13" t="str">
        <x:f>IF('Contract Register'!A129="","",'Contract Register'!K129)</x:f>
      </x:c>
      <x:c r="G129" s="8" t="str">
        <x:f>IF('Contract Register'!A129="","",'Contract Register'!L129)</x:f>
      </x:c>
      <x:c r="H129" s="8" t="str">
        <x:f>IF(A129="","",IF(F129&lt;=30,"Escalate now",IF(F129&lt;=90,"Prepare renewal decision","Monitor")))</x:f>
      </x:c>
    </x:row>
    <x:row r="130">
      <x:c r="A130" s="8" t="str">
        <x:f>IF('Contract Register'!A130="","",'Contract Register'!A130)</x:f>
      </x:c>
      <x:c r="B130" s="8" t="str">
        <x:f>IF('Contract Register'!A130="","",'Contract Register'!B130)</x:f>
      </x:c>
      <x:c r="C130" s="8" t="str">
        <x:f>IF('Contract Register'!A130="","",'Contract Register'!D130)</x:f>
      </x:c>
      <x:c r="D130" s="12" t="str">
        <x:f>IF('Contract Register'!A130="","",'Contract Register'!I130)</x:f>
      </x:c>
      <x:c r="E130" s="12" t="str">
        <x:f>IF('Contract Register'!A130="","",'Contract Register'!J130)</x:f>
      </x:c>
      <x:c r="F130" s="13" t="str">
        <x:f>IF('Contract Register'!A130="","",'Contract Register'!K130)</x:f>
      </x:c>
      <x:c r="G130" s="8" t="str">
        <x:f>IF('Contract Register'!A130="","",'Contract Register'!L130)</x:f>
      </x:c>
      <x:c r="H130" s="8" t="str">
        <x:f>IF(A130="","",IF(F130&lt;=30,"Escalate now",IF(F130&lt;=90,"Prepare renewal decision","Monitor")))</x:f>
      </x:c>
    </x:row>
    <x:row r="131">
      <x:c r="A131" s="8" t="str">
        <x:f>IF('Contract Register'!A131="","",'Contract Register'!A131)</x:f>
      </x:c>
      <x:c r="B131" s="8" t="str">
        <x:f>IF('Contract Register'!A131="","",'Contract Register'!B131)</x:f>
      </x:c>
      <x:c r="C131" s="8" t="str">
        <x:f>IF('Contract Register'!A131="","",'Contract Register'!D131)</x:f>
      </x:c>
      <x:c r="D131" s="12" t="str">
        <x:f>IF('Contract Register'!A131="","",'Contract Register'!I131)</x:f>
      </x:c>
      <x:c r="E131" s="12" t="str">
        <x:f>IF('Contract Register'!A131="","",'Contract Register'!J131)</x:f>
      </x:c>
      <x:c r="F131" s="13" t="str">
        <x:f>IF('Contract Register'!A131="","",'Contract Register'!K131)</x:f>
      </x:c>
      <x:c r="G131" s="8" t="str">
        <x:f>IF('Contract Register'!A131="","",'Contract Register'!L131)</x:f>
      </x:c>
      <x:c r="H131" s="8" t="str">
        <x:f>IF(A131="","",IF(F131&lt;=30,"Escalate now",IF(F131&lt;=90,"Prepare renewal decision","Monitor")))</x:f>
      </x:c>
    </x:row>
    <x:row r="132">
      <x:c r="A132" s="8" t="str">
        <x:f>IF('Contract Register'!A132="","",'Contract Register'!A132)</x:f>
      </x:c>
      <x:c r="B132" s="8" t="str">
        <x:f>IF('Contract Register'!A132="","",'Contract Register'!B132)</x:f>
      </x:c>
      <x:c r="C132" s="8" t="str">
        <x:f>IF('Contract Register'!A132="","",'Contract Register'!D132)</x:f>
      </x:c>
      <x:c r="D132" s="12" t="str">
        <x:f>IF('Contract Register'!A132="","",'Contract Register'!I132)</x:f>
      </x:c>
      <x:c r="E132" s="12" t="str">
        <x:f>IF('Contract Register'!A132="","",'Contract Register'!J132)</x:f>
      </x:c>
      <x:c r="F132" s="13" t="str">
        <x:f>IF('Contract Register'!A132="","",'Contract Register'!K132)</x:f>
      </x:c>
      <x:c r="G132" s="8" t="str">
        <x:f>IF('Contract Register'!A132="","",'Contract Register'!L132)</x:f>
      </x:c>
      <x:c r="H132" s="8" t="str">
        <x:f>IF(A132="","",IF(F132&lt;=30,"Escalate now",IF(F132&lt;=90,"Prepare renewal decision","Monitor")))</x:f>
      </x:c>
    </x:row>
    <x:row r="133">
      <x:c r="A133" s="8" t="str">
        <x:f>IF('Contract Register'!A133="","",'Contract Register'!A133)</x:f>
      </x:c>
      <x:c r="B133" s="8" t="str">
        <x:f>IF('Contract Register'!A133="","",'Contract Register'!B133)</x:f>
      </x:c>
      <x:c r="C133" s="8" t="str">
        <x:f>IF('Contract Register'!A133="","",'Contract Register'!D133)</x:f>
      </x:c>
      <x:c r="D133" s="12" t="str">
        <x:f>IF('Contract Register'!A133="","",'Contract Register'!I133)</x:f>
      </x:c>
      <x:c r="E133" s="12" t="str">
        <x:f>IF('Contract Register'!A133="","",'Contract Register'!J133)</x:f>
      </x:c>
      <x:c r="F133" s="13" t="str">
        <x:f>IF('Contract Register'!A133="","",'Contract Register'!K133)</x:f>
      </x:c>
      <x:c r="G133" s="8" t="str">
        <x:f>IF('Contract Register'!A133="","",'Contract Register'!L133)</x:f>
      </x:c>
      <x:c r="H133" s="8" t="str">
        <x:f>IF(A133="","",IF(F133&lt;=30,"Escalate now",IF(F133&lt;=90,"Prepare renewal decision","Monitor")))</x:f>
      </x:c>
    </x:row>
    <x:row r="134">
      <x:c r="A134" s="8" t="str">
        <x:f>IF('Contract Register'!A134="","",'Contract Register'!A134)</x:f>
      </x:c>
      <x:c r="B134" s="8" t="str">
        <x:f>IF('Contract Register'!A134="","",'Contract Register'!B134)</x:f>
      </x:c>
      <x:c r="C134" s="8" t="str">
        <x:f>IF('Contract Register'!A134="","",'Contract Register'!D134)</x:f>
      </x:c>
      <x:c r="D134" s="12" t="str">
        <x:f>IF('Contract Register'!A134="","",'Contract Register'!I134)</x:f>
      </x:c>
      <x:c r="E134" s="12" t="str">
        <x:f>IF('Contract Register'!A134="","",'Contract Register'!J134)</x:f>
      </x:c>
      <x:c r="F134" s="13" t="str">
        <x:f>IF('Contract Register'!A134="","",'Contract Register'!K134)</x:f>
      </x:c>
      <x:c r="G134" s="8" t="str">
        <x:f>IF('Contract Register'!A134="","",'Contract Register'!L134)</x:f>
      </x:c>
      <x:c r="H134" s="8" t="str">
        <x:f>IF(A134="","",IF(F134&lt;=30,"Escalate now",IF(F134&lt;=90,"Prepare renewal decision","Monitor")))</x:f>
      </x:c>
    </x:row>
    <x:row r="135">
      <x:c r="A135" s="8" t="str">
        <x:f>IF('Contract Register'!A135="","",'Contract Register'!A135)</x:f>
      </x:c>
      <x:c r="B135" s="8" t="str">
        <x:f>IF('Contract Register'!A135="","",'Contract Register'!B135)</x:f>
      </x:c>
      <x:c r="C135" s="8" t="str">
        <x:f>IF('Contract Register'!A135="","",'Contract Register'!D135)</x:f>
      </x:c>
      <x:c r="D135" s="12" t="str">
        <x:f>IF('Contract Register'!A135="","",'Contract Register'!I135)</x:f>
      </x:c>
      <x:c r="E135" s="12" t="str">
        <x:f>IF('Contract Register'!A135="","",'Contract Register'!J135)</x:f>
      </x:c>
      <x:c r="F135" s="13" t="str">
        <x:f>IF('Contract Register'!A135="","",'Contract Register'!K135)</x:f>
      </x:c>
      <x:c r="G135" s="8" t="str">
        <x:f>IF('Contract Register'!A135="","",'Contract Register'!L135)</x:f>
      </x:c>
      <x:c r="H135" s="8" t="str">
        <x:f>IF(A135="","",IF(F135&lt;=30,"Escalate now",IF(F135&lt;=90,"Prepare renewal decision","Monitor")))</x:f>
      </x:c>
    </x:row>
    <x:row r="136">
      <x:c r="A136" s="8" t="str">
        <x:f>IF('Contract Register'!A136="","",'Contract Register'!A136)</x:f>
      </x:c>
      <x:c r="B136" s="8" t="str">
        <x:f>IF('Contract Register'!A136="","",'Contract Register'!B136)</x:f>
      </x:c>
      <x:c r="C136" s="8" t="str">
        <x:f>IF('Contract Register'!A136="","",'Contract Register'!D136)</x:f>
      </x:c>
      <x:c r="D136" s="12" t="str">
        <x:f>IF('Contract Register'!A136="","",'Contract Register'!I136)</x:f>
      </x:c>
      <x:c r="E136" s="12" t="str">
        <x:f>IF('Contract Register'!A136="","",'Contract Register'!J136)</x:f>
      </x:c>
      <x:c r="F136" s="13" t="str">
        <x:f>IF('Contract Register'!A136="","",'Contract Register'!K136)</x:f>
      </x:c>
      <x:c r="G136" s="8" t="str">
        <x:f>IF('Contract Register'!A136="","",'Contract Register'!L136)</x:f>
      </x:c>
      <x:c r="H136" s="8" t="str">
        <x:f>IF(A136="","",IF(F136&lt;=30,"Escalate now",IF(F136&lt;=90,"Prepare renewal decision","Monitor")))</x:f>
      </x:c>
    </x:row>
    <x:row r="137">
      <x:c r="A137" s="8" t="str">
        <x:f>IF('Contract Register'!A137="","",'Contract Register'!A137)</x:f>
      </x:c>
      <x:c r="B137" s="8" t="str">
        <x:f>IF('Contract Register'!A137="","",'Contract Register'!B137)</x:f>
      </x:c>
      <x:c r="C137" s="8" t="str">
        <x:f>IF('Contract Register'!A137="","",'Contract Register'!D137)</x:f>
      </x:c>
      <x:c r="D137" s="12" t="str">
        <x:f>IF('Contract Register'!A137="","",'Contract Register'!I137)</x:f>
      </x:c>
      <x:c r="E137" s="12" t="str">
        <x:f>IF('Contract Register'!A137="","",'Contract Register'!J137)</x:f>
      </x:c>
      <x:c r="F137" s="13" t="str">
        <x:f>IF('Contract Register'!A137="","",'Contract Register'!K137)</x:f>
      </x:c>
      <x:c r="G137" s="8" t="str">
        <x:f>IF('Contract Register'!A137="","",'Contract Register'!L137)</x:f>
      </x:c>
      <x:c r="H137" s="8" t="str">
        <x:f>IF(A137="","",IF(F137&lt;=30,"Escalate now",IF(F137&lt;=90,"Prepare renewal decision","Monitor")))</x:f>
      </x:c>
    </x:row>
    <x:row r="138">
      <x:c r="A138" s="8" t="str">
        <x:f>IF('Contract Register'!A138="","",'Contract Register'!A138)</x:f>
      </x:c>
      <x:c r="B138" s="8" t="str">
        <x:f>IF('Contract Register'!A138="","",'Contract Register'!B138)</x:f>
      </x:c>
      <x:c r="C138" s="8" t="str">
        <x:f>IF('Contract Register'!A138="","",'Contract Register'!D138)</x:f>
      </x:c>
      <x:c r="D138" s="12" t="str">
        <x:f>IF('Contract Register'!A138="","",'Contract Register'!I138)</x:f>
      </x:c>
      <x:c r="E138" s="12" t="str">
        <x:f>IF('Contract Register'!A138="","",'Contract Register'!J138)</x:f>
      </x:c>
      <x:c r="F138" s="13" t="str">
        <x:f>IF('Contract Register'!A138="","",'Contract Register'!K138)</x:f>
      </x:c>
      <x:c r="G138" s="8" t="str">
        <x:f>IF('Contract Register'!A138="","",'Contract Register'!L138)</x:f>
      </x:c>
      <x:c r="H138" s="8" t="str">
        <x:f>IF(A138="","",IF(F138&lt;=30,"Escalate now",IF(F138&lt;=90,"Prepare renewal decision","Monitor")))</x:f>
      </x:c>
    </x:row>
    <x:row r="139">
      <x:c r="A139" s="8" t="str">
        <x:f>IF('Contract Register'!A139="","",'Contract Register'!A139)</x:f>
      </x:c>
      <x:c r="B139" s="8" t="str">
        <x:f>IF('Contract Register'!A139="","",'Contract Register'!B139)</x:f>
      </x:c>
      <x:c r="C139" s="8" t="str">
        <x:f>IF('Contract Register'!A139="","",'Contract Register'!D139)</x:f>
      </x:c>
      <x:c r="D139" s="12" t="str">
        <x:f>IF('Contract Register'!A139="","",'Contract Register'!I139)</x:f>
      </x:c>
      <x:c r="E139" s="12" t="str">
        <x:f>IF('Contract Register'!A139="","",'Contract Register'!J139)</x:f>
      </x:c>
      <x:c r="F139" s="13" t="str">
        <x:f>IF('Contract Register'!A139="","",'Contract Register'!K139)</x:f>
      </x:c>
      <x:c r="G139" s="8" t="str">
        <x:f>IF('Contract Register'!A139="","",'Contract Register'!L139)</x:f>
      </x:c>
      <x:c r="H139" s="8" t="str">
        <x:f>IF(A139="","",IF(F139&lt;=30,"Escalate now",IF(F139&lt;=90,"Prepare renewal decision","Monitor")))</x:f>
      </x:c>
    </x:row>
    <x:row r="140">
      <x:c r="A140" s="8" t="str">
        <x:f>IF('Contract Register'!A140="","",'Contract Register'!A140)</x:f>
      </x:c>
      <x:c r="B140" s="8" t="str">
        <x:f>IF('Contract Register'!A140="","",'Contract Register'!B140)</x:f>
      </x:c>
      <x:c r="C140" s="8" t="str">
        <x:f>IF('Contract Register'!A140="","",'Contract Register'!D140)</x:f>
      </x:c>
      <x:c r="D140" s="12" t="str">
        <x:f>IF('Contract Register'!A140="","",'Contract Register'!I140)</x:f>
      </x:c>
      <x:c r="E140" s="12" t="str">
        <x:f>IF('Contract Register'!A140="","",'Contract Register'!J140)</x:f>
      </x:c>
      <x:c r="F140" s="13" t="str">
        <x:f>IF('Contract Register'!A140="","",'Contract Register'!K140)</x:f>
      </x:c>
      <x:c r="G140" s="8" t="str">
        <x:f>IF('Contract Register'!A140="","",'Contract Register'!L140)</x:f>
      </x:c>
      <x:c r="H140" s="8" t="str">
        <x:f>IF(A140="","",IF(F140&lt;=30,"Escalate now",IF(F140&lt;=90,"Prepare renewal decision","Monitor")))</x:f>
      </x:c>
    </x:row>
    <x:row r="141">
      <x:c r="A141" s="8" t="str">
        <x:f>IF('Contract Register'!A141="","",'Contract Register'!A141)</x:f>
      </x:c>
      <x:c r="B141" s="8" t="str">
        <x:f>IF('Contract Register'!A141="","",'Contract Register'!B141)</x:f>
      </x:c>
      <x:c r="C141" s="8" t="str">
        <x:f>IF('Contract Register'!A141="","",'Contract Register'!D141)</x:f>
      </x:c>
      <x:c r="D141" s="12" t="str">
        <x:f>IF('Contract Register'!A141="","",'Contract Register'!I141)</x:f>
      </x:c>
      <x:c r="E141" s="12" t="str">
        <x:f>IF('Contract Register'!A141="","",'Contract Register'!J141)</x:f>
      </x:c>
      <x:c r="F141" s="13" t="str">
        <x:f>IF('Contract Register'!A141="","",'Contract Register'!K141)</x:f>
      </x:c>
      <x:c r="G141" s="8" t="str">
        <x:f>IF('Contract Register'!A141="","",'Contract Register'!L141)</x:f>
      </x:c>
      <x:c r="H141" s="8" t="str">
        <x:f>IF(A141="","",IF(F141&lt;=30,"Escalate now",IF(F141&lt;=90,"Prepare renewal decision","Monitor")))</x:f>
      </x:c>
    </x:row>
    <x:row r="142">
      <x:c r="A142" s="8" t="str">
        <x:f>IF('Contract Register'!A142="","",'Contract Register'!A142)</x:f>
      </x:c>
      <x:c r="B142" s="8" t="str">
        <x:f>IF('Contract Register'!A142="","",'Contract Register'!B142)</x:f>
      </x:c>
      <x:c r="C142" s="8" t="str">
        <x:f>IF('Contract Register'!A142="","",'Contract Register'!D142)</x:f>
      </x:c>
      <x:c r="D142" s="12" t="str">
        <x:f>IF('Contract Register'!A142="","",'Contract Register'!I142)</x:f>
      </x:c>
      <x:c r="E142" s="12" t="str">
        <x:f>IF('Contract Register'!A142="","",'Contract Register'!J142)</x:f>
      </x:c>
      <x:c r="F142" s="13" t="str">
        <x:f>IF('Contract Register'!A142="","",'Contract Register'!K142)</x:f>
      </x:c>
      <x:c r="G142" s="8" t="str">
        <x:f>IF('Contract Register'!A142="","",'Contract Register'!L142)</x:f>
      </x:c>
      <x:c r="H142" s="8" t="str">
        <x:f>IF(A142="","",IF(F142&lt;=30,"Escalate now",IF(F142&lt;=90,"Prepare renewal decision","Monitor")))</x:f>
      </x:c>
    </x:row>
    <x:row r="143">
      <x:c r="A143" s="8" t="str">
        <x:f>IF('Contract Register'!A143="","",'Contract Register'!A143)</x:f>
      </x:c>
      <x:c r="B143" s="8" t="str">
        <x:f>IF('Contract Register'!A143="","",'Contract Register'!B143)</x:f>
      </x:c>
      <x:c r="C143" s="8" t="str">
        <x:f>IF('Contract Register'!A143="","",'Contract Register'!D143)</x:f>
      </x:c>
      <x:c r="D143" s="12" t="str">
        <x:f>IF('Contract Register'!A143="","",'Contract Register'!I143)</x:f>
      </x:c>
      <x:c r="E143" s="12" t="str">
        <x:f>IF('Contract Register'!A143="","",'Contract Register'!J143)</x:f>
      </x:c>
      <x:c r="F143" s="13" t="str">
        <x:f>IF('Contract Register'!A143="","",'Contract Register'!K143)</x:f>
      </x:c>
      <x:c r="G143" s="8" t="str">
        <x:f>IF('Contract Register'!A143="","",'Contract Register'!L143)</x:f>
      </x:c>
      <x:c r="H143" s="8" t="str">
        <x:f>IF(A143="","",IF(F143&lt;=30,"Escalate now",IF(F143&lt;=90,"Prepare renewal decision","Monitor")))</x:f>
      </x:c>
    </x:row>
    <x:row r="144">
      <x:c r="A144" s="8" t="str">
        <x:f>IF('Contract Register'!A144="","",'Contract Register'!A144)</x:f>
      </x:c>
      <x:c r="B144" s="8" t="str">
        <x:f>IF('Contract Register'!A144="","",'Contract Register'!B144)</x:f>
      </x:c>
      <x:c r="C144" s="8" t="str">
        <x:f>IF('Contract Register'!A144="","",'Contract Register'!D144)</x:f>
      </x:c>
      <x:c r="D144" s="12" t="str">
        <x:f>IF('Contract Register'!A144="","",'Contract Register'!I144)</x:f>
      </x:c>
      <x:c r="E144" s="12" t="str">
        <x:f>IF('Contract Register'!A144="","",'Contract Register'!J144)</x:f>
      </x:c>
      <x:c r="F144" s="13" t="str">
        <x:f>IF('Contract Register'!A144="","",'Contract Register'!K144)</x:f>
      </x:c>
      <x:c r="G144" s="8" t="str">
        <x:f>IF('Contract Register'!A144="","",'Contract Register'!L144)</x:f>
      </x:c>
      <x:c r="H144" s="8" t="str">
        <x:f>IF(A144="","",IF(F144&lt;=30,"Escalate now",IF(F144&lt;=90,"Prepare renewal decision","Monitor")))</x:f>
      </x:c>
    </x:row>
    <x:row r="145">
      <x:c r="A145" s="8" t="str">
        <x:f>IF('Contract Register'!A145="","",'Contract Register'!A145)</x:f>
      </x:c>
      <x:c r="B145" s="8" t="str">
        <x:f>IF('Contract Register'!A145="","",'Contract Register'!B145)</x:f>
      </x:c>
      <x:c r="C145" s="8" t="str">
        <x:f>IF('Contract Register'!A145="","",'Contract Register'!D145)</x:f>
      </x:c>
      <x:c r="D145" s="12" t="str">
        <x:f>IF('Contract Register'!A145="","",'Contract Register'!I145)</x:f>
      </x:c>
      <x:c r="E145" s="12" t="str">
        <x:f>IF('Contract Register'!A145="","",'Contract Register'!J145)</x:f>
      </x:c>
      <x:c r="F145" s="13" t="str">
        <x:f>IF('Contract Register'!A145="","",'Contract Register'!K145)</x:f>
      </x:c>
      <x:c r="G145" s="8" t="str">
        <x:f>IF('Contract Register'!A145="","",'Contract Register'!L145)</x:f>
      </x:c>
      <x:c r="H145" s="8" t="str">
        <x:f>IF(A145="","",IF(F145&lt;=30,"Escalate now",IF(F145&lt;=90,"Prepare renewal decision","Monitor")))</x:f>
      </x:c>
    </x:row>
    <x:row r="146">
      <x:c r="A146" s="8" t="str">
        <x:f>IF('Contract Register'!A146="","",'Contract Register'!A146)</x:f>
      </x:c>
      <x:c r="B146" s="8" t="str">
        <x:f>IF('Contract Register'!A146="","",'Contract Register'!B146)</x:f>
      </x:c>
      <x:c r="C146" s="8" t="str">
        <x:f>IF('Contract Register'!A146="","",'Contract Register'!D146)</x:f>
      </x:c>
      <x:c r="D146" s="12" t="str">
        <x:f>IF('Contract Register'!A146="","",'Contract Register'!I146)</x:f>
      </x:c>
      <x:c r="E146" s="12" t="str">
        <x:f>IF('Contract Register'!A146="","",'Contract Register'!J146)</x:f>
      </x:c>
      <x:c r="F146" s="13" t="str">
        <x:f>IF('Contract Register'!A146="","",'Contract Register'!K146)</x:f>
      </x:c>
      <x:c r="G146" s="8" t="str">
        <x:f>IF('Contract Register'!A146="","",'Contract Register'!L146)</x:f>
      </x:c>
      <x:c r="H146" s="8" t="str">
        <x:f>IF(A146="","",IF(F146&lt;=30,"Escalate now",IF(F146&lt;=90,"Prepare renewal decision","Monitor")))</x:f>
      </x:c>
    </x:row>
    <x:row r="147">
      <x:c r="A147" s="8" t="str">
        <x:f>IF('Contract Register'!A147="","",'Contract Register'!A147)</x:f>
      </x:c>
      <x:c r="B147" s="8" t="str">
        <x:f>IF('Contract Register'!A147="","",'Contract Register'!B147)</x:f>
      </x:c>
      <x:c r="C147" s="8" t="str">
        <x:f>IF('Contract Register'!A147="","",'Contract Register'!D147)</x:f>
      </x:c>
      <x:c r="D147" s="12" t="str">
        <x:f>IF('Contract Register'!A147="","",'Contract Register'!I147)</x:f>
      </x:c>
      <x:c r="E147" s="12" t="str">
        <x:f>IF('Contract Register'!A147="","",'Contract Register'!J147)</x:f>
      </x:c>
      <x:c r="F147" s="13" t="str">
        <x:f>IF('Contract Register'!A147="","",'Contract Register'!K147)</x:f>
      </x:c>
      <x:c r="G147" s="8" t="str">
        <x:f>IF('Contract Register'!A147="","",'Contract Register'!L147)</x:f>
      </x:c>
      <x:c r="H147" s="8" t="str">
        <x:f>IF(A147="","",IF(F147&lt;=30,"Escalate now",IF(F147&lt;=90,"Prepare renewal decision","Monitor")))</x:f>
      </x:c>
    </x:row>
    <x:row r="148">
      <x:c r="A148" s="8" t="str">
        <x:f>IF('Contract Register'!A148="","",'Contract Register'!A148)</x:f>
      </x:c>
      <x:c r="B148" s="8" t="str">
        <x:f>IF('Contract Register'!A148="","",'Contract Register'!B148)</x:f>
      </x:c>
      <x:c r="C148" s="8" t="str">
        <x:f>IF('Contract Register'!A148="","",'Contract Register'!D148)</x:f>
      </x:c>
      <x:c r="D148" s="12" t="str">
        <x:f>IF('Contract Register'!A148="","",'Contract Register'!I148)</x:f>
      </x:c>
      <x:c r="E148" s="12" t="str">
        <x:f>IF('Contract Register'!A148="","",'Contract Register'!J148)</x:f>
      </x:c>
      <x:c r="F148" s="13" t="str">
        <x:f>IF('Contract Register'!A148="","",'Contract Register'!K148)</x:f>
      </x:c>
      <x:c r="G148" s="8" t="str">
        <x:f>IF('Contract Register'!A148="","",'Contract Register'!L148)</x:f>
      </x:c>
      <x:c r="H148" s="8" t="str">
        <x:f>IF(A148="","",IF(F148&lt;=30,"Escalate now",IF(F148&lt;=90,"Prepare renewal decision","Monitor")))</x:f>
      </x:c>
    </x:row>
    <x:row r="149">
      <x:c r="A149" s="8" t="str">
        <x:f>IF('Contract Register'!A149="","",'Contract Register'!A149)</x:f>
      </x:c>
      <x:c r="B149" s="8" t="str">
        <x:f>IF('Contract Register'!A149="","",'Contract Register'!B149)</x:f>
      </x:c>
      <x:c r="C149" s="8" t="str">
        <x:f>IF('Contract Register'!A149="","",'Contract Register'!D149)</x:f>
      </x:c>
      <x:c r="D149" s="12" t="str">
        <x:f>IF('Contract Register'!A149="","",'Contract Register'!I149)</x:f>
      </x:c>
      <x:c r="E149" s="12" t="str">
        <x:f>IF('Contract Register'!A149="","",'Contract Register'!J149)</x:f>
      </x:c>
      <x:c r="F149" s="13" t="str">
        <x:f>IF('Contract Register'!A149="","",'Contract Register'!K149)</x:f>
      </x:c>
      <x:c r="G149" s="8" t="str">
        <x:f>IF('Contract Register'!A149="","",'Contract Register'!L149)</x:f>
      </x:c>
      <x:c r="H149" s="8" t="str">
        <x:f>IF(A149="","",IF(F149&lt;=30,"Escalate now",IF(F149&lt;=90,"Prepare renewal decision","Monitor")))</x:f>
      </x:c>
    </x:row>
    <x:row r="150">
      <x:c r="A150" s="8" t="str">
        <x:f>IF('Contract Register'!A150="","",'Contract Register'!A150)</x:f>
      </x:c>
      <x:c r="B150" s="8" t="str">
        <x:f>IF('Contract Register'!A150="","",'Contract Register'!B150)</x:f>
      </x:c>
      <x:c r="C150" s="8" t="str">
        <x:f>IF('Contract Register'!A150="","",'Contract Register'!D150)</x:f>
      </x:c>
      <x:c r="D150" s="12" t="str">
        <x:f>IF('Contract Register'!A150="","",'Contract Register'!I150)</x:f>
      </x:c>
      <x:c r="E150" s="12" t="str">
        <x:f>IF('Contract Register'!A150="","",'Contract Register'!J150)</x:f>
      </x:c>
      <x:c r="F150" s="13" t="str">
        <x:f>IF('Contract Register'!A150="","",'Contract Register'!K150)</x:f>
      </x:c>
      <x:c r="G150" s="8" t="str">
        <x:f>IF('Contract Register'!A150="","",'Contract Register'!L150)</x:f>
      </x:c>
      <x:c r="H150" s="8" t="str">
        <x:f>IF(A150="","",IF(F150&lt;=30,"Escalate now",IF(F150&lt;=90,"Prepare renewal decision","Monitor")))</x:f>
      </x:c>
    </x:row>
    <x:row r="151">
      <x:c r="A151" s="8" t="str">
        <x:f>IF('Contract Register'!A151="","",'Contract Register'!A151)</x:f>
      </x:c>
      <x:c r="B151" s="8" t="str">
        <x:f>IF('Contract Register'!A151="","",'Contract Register'!B151)</x:f>
      </x:c>
      <x:c r="C151" s="8" t="str">
        <x:f>IF('Contract Register'!A151="","",'Contract Register'!D151)</x:f>
      </x:c>
      <x:c r="D151" s="12" t="str">
        <x:f>IF('Contract Register'!A151="","",'Contract Register'!I151)</x:f>
      </x:c>
      <x:c r="E151" s="12" t="str">
        <x:f>IF('Contract Register'!A151="","",'Contract Register'!J151)</x:f>
      </x:c>
      <x:c r="F151" s="13" t="str">
        <x:f>IF('Contract Register'!A151="","",'Contract Register'!K151)</x:f>
      </x:c>
      <x:c r="G151" s="8" t="str">
        <x:f>IF('Contract Register'!A151="","",'Contract Register'!L151)</x:f>
      </x:c>
      <x:c r="H151" s="8" t="str">
        <x:f>IF(A151="","",IF(F151&lt;=30,"Escalate now",IF(F151&lt;=90,"Prepare renewal decision","Monitor")))</x:f>
      </x:c>
    </x:row>
    <x:row r="152">
      <x:c r="A152" s="8" t="str">
        <x:f>IF('Contract Register'!A152="","",'Contract Register'!A152)</x:f>
      </x:c>
      <x:c r="B152" s="8" t="str">
        <x:f>IF('Contract Register'!A152="","",'Contract Register'!B152)</x:f>
      </x:c>
      <x:c r="C152" s="8" t="str">
        <x:f>IF('Contract Register'!A152="","",'Contract Register'!D152)</x:f>
      </x:c>
      <x:c r="D152" s="12" t="str">
        <x:f>IF('Contract Register'!A152="","",'Contract Register'!I152)</x:f>
      </x:c>
      <x:c r="E152" s="12" t="str">
        <x:f>IF('Contract Register'!A152="","",'Contract Register'!J152)</x:f>
      </x:c>
      <x:c r="F152" s="13" t="str">
        <x:f>IF('Contract Register'!A152="","",'Contract Register'!K152)</x:f>
      </x:c>
      <x:c r="G152" s="8" t="str">
        <x:f>IF('Contract Register'!A152="","",'Contract Register'!L152)</x:f>
      </x:c>
      <x:c r="H152" s="8" t="str">
        <x:f>IF(A152="","",IF(F152&lt;=30,"Escalate now",IF(F152&lt;=90,"Prepare renewal decision","Monitor")))</x:f>
      </x:c>
    </x:row>
    <x:row r="153">
      <x:c r="A153" s="8" t="str">
        <x:f>IF('Contract Register'!A153="","",'Contract Register'!A153)</x:f>
      </x:c>
      <x:c r="B153" s="8" t="str">
        <x:f>IF('Contract Register'!A153="","",'Contract Register'!B153)</x:f>
      </x:c>
      <x:c r="C153" s="8" t="str">
        <x:f>IF('Contract Register'!A153="","",'Contract Register'!D153)</x:f>
      </x:c>
      <x:c r="D153" s="12" t="str">
        <x:f>IF('Contract Register'!A153="","",'Contract Register'!I153)</x:f>
      </x:c>
      <x:c r="E153" s="12" t="str">
        <x:f>IF('Contract Register'!A153="","",'Contract Register'!J153)</x:f>
      </x:c>
      <x:c r="F153" s="13" t="str">
        <x:f>IF('Contract Register'!A153="","",'Contract Register'!K153)</x:f>
      </x:c>
      <x:c r="G153" s="8" t="str">
        <x:f>IF('Contract Register'!A153="","",'Contract Register'!L153)</x:f>
      </x:c>
      <x:c r="H153" s="8" t="str">
        <x:f>IF(A153="","",IF(F153&lt;=30,"Escalate now",IF(F153&lt;=90,"Prepare renewal decision","Monitor")))</x:f>
      </x:c>
    </x:row>
    <x:row r="154">
      <x:c r="A154" s="8" t="str">
        <x:f>IF('Contract Register'!A154="","",'Contract Register'!A154)</x:f>
      </x:c>
      <x:c r="B154" s="8" t="str">
        <x:f>IF('Contract Register'!A154="","",'Contract Register'!B154)</x:f>
      </x:c>
      <x:c r="C154" s="8" t="str">
        <x:f>IF('Contract Register'!A154="","",'Contract Register'!D154)</x:f>
      </x:c>
      <x:c r="D154" s="12" t="str">
        <x:f>IF('Contract Register'!A154="","",'Contract Register'!I154)</x:f>
      </x:c>
      <x:c r="E154" s="12" t="str">
        <x:f>IF('Contract Register'!A154="","",'Contract Register'!J154)</x:f>
      </x:c>
      <x:c r="F154" s="13" t="str">
        <x:f>IF('Contract Register'!A154="","",'Contract Register'!K154)</x:f>
      </x:c>
      <x:c r="G154" s="8" t="str">
        <x:f>IF('Contract Register'!A154="","",'Contract Register'!L154)</x:f>
      </x:c>
      <x:c r="H154" s="8" t="str">
        <x:f>IF(A154="","",IF(F154&lt;=30,"Escalate now",IF(F154&lt;=90,"Prepare renewal decision","Monitor")))</x:f>
      </x:c>
    </x:row>
    <x:row r="155">
      <x:c r="A155" s="8" t="str">
        <x:f>IF('Contract Register'!A155="","",'Contract Register'!A155)</x:f>
      </x:c>
      <x:c r="B155" s="8" t="str">
        <x:f>IF('Contract Register'!A155="","",'Contract Register'!B155)</x:f>
      </x:c>
      <x:c r="C155" s="8" t="str">
        <x:f>IF('Contract Register'!A155="","",'Contract Register'!D155)</x:f>
      </x:c>
      <x:c r="D155" s="12" t="str">
        <x:f>IF('Contract Register'!A155="","",'Contract Register'!I155)</x:f>
      </x:c>
      <x:c r="E155" s="12" t="str">
        <x:f>IF('Contract Register'!A155="","",'Contract Register'!J155)</x:f>
      </x:c>
      <x:c r="F155" s="13" t="str">
        <x:f>IF('Contract Register'!A155="","",'Contract Register'!K155)</x:f>
      </x:c>
      <x:c r="G155" s="8" t="str">
        <x:f>IF('Contract Register'!A155="","",'Contract Register'!L155)</x:f>
      </x:c>
      <x:c r="H155" s="8" t="str">
        <x:f>IF(A155="","",IF(F155&lt;=30,"Escalate now",IF(F155&lt;=90,"Prepare renewal decision","Monitor")))</x:f>
      </x:c>
    </x:row>
    <x:row r="156">
      <x:c r="A156" s="8" t="str">
        <x:f>IF('Contract Register'!A156="","",'Contract Register'!A156)</x:f>
      </x:c>
      <x:c r="B156" s="8" t="str">
        <x:f>IF('Contract Register'!A156="","",'Contract Register'!B156)</x:f>
      </x:c>
      <x:c r="C156" s="8" t="str">
        <x:f>IF('Contract Register'!A156="","",'Contract Register'!D156)</x:f>
      </x:c>
      <x:c r="D156" s="12" t="str">
        <x:f>IF('Contract Register'!A156="","",'Contract Register'!I156)</x:f>
      </x:c>
      <x:c r="E156" s="12" t="str">
        <x:f>IF('Contract Register'!A156="","",'Contract Register'!J156)</x:f>
      </x:c>
      <x:c r="F156" s="13" t="str">
        <x:f>IF('Contract Register'!A156="","",'Contract Register'!K156)</x:f>
      </x:c>
      <x:c r="G156" s="8" t="str">
        <x:f>IF('Contract Register'!A156="","",'Contract Register'!L156)</x:f>
      </x:c>
      <x:c r="H156" s="8" t="str">
        <x:f>IF(A156="","",IF(F156&lt;=30,"Escalate now",IF(F156&lt;=90,"Prepare renewal decision","Monitor")))</x:f>
      </x:c>
    </x:row>
    <x:row r="157">
      <x:c r="A157" s="8" t="str">
        <x:f>IF('Contract Register'!A157="","",'Contract Register'!A157)</x:f>
      </x:c>
      <x:c r="B157" s="8" t="str">
        <x:f>IF('Contract Register'!A157="","",'Contract Register'!B157)</x:f>
      </x:c>
      <x:c r="C157" s="8" t="str">
        <x:f>IF('Contract Register'!A157="","",'Contract Register'!D157)</x:f>
      </x:c>
      <x:c r="D157" s="12" t="str">
        <x:f>IF('Contract Register'!A157="","",'Contract Register'!I157)</x:f>
      </x:c>
      <x:c r="E157" s="12" t="str">
        <x:f>IF('Contract Register'!A157="","",'Contract Register'!J157)</x:f>
      </x:c>
      <x:c r="F157" s="13" t="str">
        <x:f>IF('Contract Register'!A157="","",'Contract Register'!K157)</x:f>
      </x:c>
      <x:c r="G157" s="8" t="str">
        <x:f>IF('Contract Register'!A157="","",'Contract Register'!L157)</x:f>
      </x:c>
      <x:c r="H157" s="8" t="str">
        <x:f>IF(A157="","",IF(F157&lt;=30,"Escalate now",IF(F157&lt;=90,"Prepare renewal decision","Monitor")))</x:f>
      </x:c>
    </x:row>
    <x:row r="158">
      <x:c r="A158" s="8" t="str">
        <x:f>IF('Contract Register'!A158="","",'Contract Register'!A158)</x:f>
      </x:c>
      <x:c r="B158" s="8" t="str">
        <x:f>IF('Contract Register'!A158="","",'Contract Register'!B158)</x:f>
      </x:c>
      <x:c r="C158" s="8" t="str">
        <x:f>IF('Contract Register'!A158="","",'Contract Register'!D158)</x:f>
      </x:c>
      <x:c r="D158" s="12" t="str">
        <x:f>IF('Contract Register'!A158="","",'Contract Register'!I158)</x:f>
      </x:c>
      <x:c r="E158" s="12" t="str">
        <x:f>IF('Contract Register'!A158="","",'Contract Register'!J158)</x:f>
      </x:c>
      <x:c r="F158" s="13" t="str">
        <x:f>IF('Contract Register'!A158="","",'Contract Register'!K158)</x:f>
      </x:c>
      <x:c r="G158" s="8" t="str">
        <x:f>IF('Contract Register'!A158="","",'Contract Register'!L158)</x:f>
      </x:c>
      <x:c r="H158" s="8" t="str">
        <x:f>IF(A158="","",IF(F158&lt;=30,"Escalate now",IF(F158&lt;=90,"Prepare renewal decision","Monitor")))</x:f>
      </x:c>
    </x:row>
    <x:row r="159">
      <x:c r="A159" s="8" t="str">
        <x:f>IF('Contract Register'!A159="","",'Contract Register'!A159)</x:f>
      </x:c>
      <x:c r="B159" s="8" t="str">
        <x:f>IF('Contract Register'!A159="","",'Contract Register'!B159)</x:f>
      </x:c>
      <x:c r="C159" s="8" t="str">
        <x:f>IF('Contract Register'!A159="","",'Contract Register'!D159)</x:f>
      </x:c>
      <x:c r="D159" s="12" t="str">
        <x:f>IF('Contract Register'!A159="","",'Contract Register'!I159)</x:f>
      </x:c>
      <x:c r="E159" s="12" t="str">
        <x:f>IF('Contract Register'!A159="","",'Contract Register'!J159)</x:f>
      </x:c>
      <x:c r="F159" s="13" t="str">
        <x:f>IF('Contract Register'!A159="","",'Contract Register'!K159)</x:f>
      </x:c>
      <x:c r="G159" s="8" t="str">
        <x:f>IF('Contract Register'!A159="","",'Contract Register'!L159)</x:f>
      </x:c>
      <x:c r="H159" s="8" t="str">
        <x:f>IF(A159="","",IF(F159&lt;=30,"Escalate now",IF(F159&lt;=90,"Prepare renewal decision","Monitor")))</x:f>
      </x:c>
    </x:row>
    <x:row r="160">
      <x:c r="A160" s="8" t="str">
        <x:f>IF('Contract Register'!A160="","",'Contract Register'!A160)</x:f>
      </x:c>
      <x:c r="B160" s="8" t="str">
        <x:f>IF('Contract Register'!A160="","",'Contract Register'!B160)</x:f>
      </x:c>
      <x:c r="C160" s="8" t="str">
        <x:f>IF('Contract Register'!A160="","",'Contract Register'!D160)</x:f>
      </x:c>
      <x:c r="D160" s="12" t="str">
        <x:f>IF('Contract Register'!A160="","",'Contract Register'!I160)</x:f>
      </x:c>
      <x:c r="E160" s="12" t="str">
        <x:f>IF('Contract Register'!A160="","",'Contract Register'!J160)</x:f>
      </x:c>
      <x:c r="F160" s="13" t="str">
        <x:f>IF('Contract Register'!A160="","",'Contract Register'!K160)</x:f>
      </x:c>
      <x:c r="G160" s="8" t="str">
        <x:f>IF('Contract Register'!A160="","",'Contract Register'!L160)</x:f>
      </x:c>
      <x:c r="H160" s="8" t="str">
        <x:f>IF(A160="","",IF(F160&lt;=30,"Escalate now",IF(F160&lt;=90,"Prepare renewal decision","Monitor")))</x:f>
      </x:c>
    </x:row>
    <x:row r="161">
      <x:c r="A161" s="8" t="str">
        <x:f>IF('Contract Register'!A161="","",'Contract Register'!A161)</x:f>
      </x:c>
      <x:c r="B161" s="8" t="str">
        <x:f>IF('Contract Register'!A161="","",'Contract Register'!B161)</x:f>
      </x:c>
      <x:c r="C161" s="8" t="str">
        <x:f>IF('Contract Register'!A161="","",'Contract Register'!D161)</x:f>
      </x:c>
      <x:c r="D161" s="12" t="str">
        <x:f>IF('Contract Register'!A161="","",'Contract Register'!I161)</x:f>
      </x:c>
      <x:c r="E161" s="12" t="str">
        <x:f>IF('Contract Register'!A161="","",'Contract Register'!J161)</x:f>
      </x:c>
      <x:c r="F161" s="13" t="str">
        <x:f>IF('Contract Register'!A161="","",'Contract Register'!K161)</x:f>
      </x:c>
      <x:c r="G161" s="8" t="str">
        <x:f>IF('Contract Register'!A161="","",'Contract Register'!L161)</x:f>
      </x:c>
      <x:c r="H161" s="8" t="str">
        <x:f>IF(A161="","",IF(F161&lt;=30,"Escalate now",IF(F161&lt;=90,"Prepare renewal decision","Monitor")))</x:f>
      </x:c>
    </x:row>
    <x:row r="162">
      <x:c r="A162" s="8" t="str">
        <x:f>IF('Contract Register'!A162="","",'Contract Register'!A162)</x:f>
      </x:c>
      <x:c r="B162" s="8" t="str">
        <x:f>IF('Contract Register'!A162="","",'Contract Register'!B162)</x:f>
      </x:c>
      <x:c r="C162" s="8" t="str">
        <x:f>IF('Contract Register'!A162="","",'Contract Register'!D162)</x:f>
      </x:c>
      <x:c r="D162" s="12" t="str">
        <x:f>IF('Contract Register'!A162="","",'Contract Register'!I162)</x:f>
      </x:c>
      <x:c r="E162" s="12" t="str">
        <x:f>IF('Contract Register'!A162="","",'Contract Register'!J162)</x:f>
      </x:c>
      <x:c r="F162" s="13" t="str">
        <x:f>IF('Contract Register'!A162="","",'Contract Register'!K162)</x:f>
      </x:c>
      <x:c r="G162" s="8" t="str">
        <x:f>IF('Contract Register'!A162="","",'Contract Register'!L162)</x:f>
      </x:c>
      <x:c r="H162" s="8" t="str">
        <x:f>IF(A162="","",IF(F162&lt;=30,"Escalate now",IF(F162&lt;=90,"Prepare renewal decision","Monitor")))</x:f>
      </x:c>
    </x:row>
    <x:row r="163">
      <x:c r="A163" s="8" t="str">
        <x:f>IF('Contract Register'!A163="","",'Contract Register'!A163)</x:f>
      </x:c>
      <x:c r="B163" s="8" t="str">
        <x:f>IF('Contract Register'!A163="","",'Contract Register'!B163)</x:f>
      </x:c>
      <x:c r="C163" s="8" t="str">
        <x:f>IF('Contract Register'!A163="","",'Contract Register'!D163)</x:f>
      </x:c>
      <x:c r="D163" s="12" t="str">
        <x:f>IF('Contract Register'!A163="","",'Contract Register'!I163)</x:f>
      </x:c>
      <x:c r="E163" s="12" t="str">
        <x:f>IF('Contract Register'!A163="","",'Contract Register'!J163)</x:f>
      </x:c>
      <x:c r="F163" s="13" t="str">
        <x:f>IF('Contract Register'!A163="","",'Contract Register'!K163)</x:f>
      </x:c>
      <x:c r="G163" s="8" t="str">
        <x:f>IF('Contract Register'!A163="","",'Contract Register'!L163)</x:f>
      </x:c>
      <x:c r="H163" s="8" t="str">
        <x:f>IF(A163="","",IF(F163&lt;=30,"Escalate now",IF(F163&lt;=90,"Prepare renewal decision","Monitor")))</x:f>
      </x:c>
    </x:row>
    <x:row r="164">
      <x:c r="A164" s="8" t="str">
        <x:f>IF('Contract Register'!A164="","",'Contract Register'!A164)</x:f>
      </x:c>
      <x:c r="B164" s="8" t="str">
        <x:f>IF('Contract Register'!A164="","",'Contract Register'!B164)</x:f>
      </x:c>
      <x:c r="C164" s="8" t="str">
        <x:f>IF('Contract Register'!A164="","",'Contract Register'!D164)</x:f>
      </x:c>
      <x:c r="D164" s="12" t="str">
        <x:f>IF('Contract Register'!A164="","",'Contract Register'!I164)</x:f>
      </x:c>
      <x:c r="E164" s="12" t="str">
        <x:f>IF('Contract Register'!A164="","",'Contract Register'!J164)</x:f>
      </x:c>
      <x:c r="F164" s="13" t="str">
        <x:f>IF('Contract Register'!A164="","",'Contract Register'!K164)</x:f>
      </x:c>
      <x:c r="G164" s="8" t="str">
        <x:f>IF('Contract Register'!A164="","",'Contract Register'!L164)</x:f>
      </x:c>
      <x:c r="H164" s="8" t="str">
        <x:f>IF(A164="","",IF(F164&lt;=30,"Escalate now",IF(F164&lt;=90,"Prepare renewal decision","Monitor")))</x:f>
      </x:c>
    </x:row>
    <x:row r="165">
      <x:c r="A165" s="8" t="str">
        <x:f>IF('Contract Register'!A165="","",'Contract Register'!A165)</x:f>
      </x:c>
      <x:c r="B165" s="8" t="str">
        <x:f>IF('Contract Register'!A165="","",'Contract Register'!B165)</x:f>
      </x:c>
      <x:c r="C165" s="8" t="str">
        <x:f>IF('Contract Register'!A165="","",'Contract Register'!D165)</x:f>
      </x:c>
      <x:c r="D165" s="12" t="str">
        <x:f>IF('Contract Register'!A165="","",'Contract Register'!I165)</x:f>
      </x:c>
      <x:c r="E165" s="12" t="str">
        <x:f>IF('Contract Register'!A165="","",'Contract Register'!J165)</x:f>
      </x:c>
      <x:c r="F165" s="13" t="str">
        <x:f>IF('Contract Register'!A165="","",'Contract Register'!K165)</x:f>
      </x:c>
      <x:c r="G165" s="8" t="str">
        <x:f>IF('Contract Register'!A165="","",'Contract Register'!L165)</x:f>
      </x:c>
      <x:c r="H165" s="8" t="str">
        <x:f>IF(A165="","",IF(F165&lt;=30,"Escalate now",IF(F165&lt;=90,"Prepare renewal decision","Monitor")))</x:f>
      </x:c>
    </x:row>
    <x:row r="166">
      <x:c r="A166" s="8" t="str">
        <x:f>IF('Contract Register'!A166="","",'Contract Register'!A166)</x:f>
      </x:c>
      <x:c r="B166" s="8" t="str">
        <x:f>IF('Contract Register'!A166="","",'Contract Register'!B166)</x:f>
      </x:c>
      <x:c r="C166" s="8" t="str">
        <x:f>IF('Contract Register'!A166="","",'Contract Register'!D166)</x:f>
      </x:c>
      <x:c r="D166" s="12" t="str">
        <x:f>IF('Contract Register'!A166="","",'Contract Register'!I166)</x:f>
      </x:c>
      <x:c r="E166" s="12" t="str">
        <x:f>IF('Contract Register'!A166="","",'Contract Register'!J166)</x:f>
      </x:c>
      <x:c r="F166" s="13" t="str">
        <x:f>IF('Contract Register'!A166="","",'Contract Register'!K166)</x:f>
      </x:c>
      <x:c r="G166" s="8" t="str">
        <x:f>IF('Contract Register'!A166="","",'Contract Register'!L166)</x:f>
      </x:c>
      <x:c r="H166" s="8" t="str">
        <x:f>IF(A166="","",IF(F166&lt;=30,"Escalate now",IF(F166&lt;=90,"Prepare renewal decision","Monitor")))</x:f>
      </x:c>
    </x:row>
    <x:row r="167">
      <x:c r="A167" s="8" t="str">
        <x:f>IF('Contract Register'!A167="","",'Contract Register'!A167)</x:f>
      </x:c>
      <x:c r="B167" s="8" t="str">
        <x:f>IF('Contract Register'!A167="","",'Contract Register'!B167)</x:f>
      </x:c>
      <x:c r="C167" s="8" t="str">
        <x:f>IF('Contract Register'!A167="","",'Contract Register'!D167)</x:f>
      </x:c>
      <x:c r="D167" s="12" t="str">
        <x:f>IF('Contract Register'!A167="","",'Contract Register'!I167)</x:f>
      </x:c>
      <x:c r="E167" s="12" t="str">
        <x:f>IF('Contract Register'!A167="","",'Contract Register'!J167)</x:f>
      </x:c>
      <x:c r="F167" s="13" t="str">
        <x:f>IF('Contract Register'!A167="","",'Contract Register'!K167)</x:f>
      </x:c>
      <x:c r="G167" s="8" t="str">
        <x:f>IF('Contract Register'!A167="","",'Contract Register'!L167)</x:f>
      </x:c>
      <x:c r="H167" s="8" t="str">
        <x:f>IF(A167="","",IF(F167&lt;=30,"Escalate now",IF(F167&lt;=90,"Prepare renewal decision","Monitor")))</x:f>
      </x:c>
    </x:row>
    <x:row r="168">
      <x:c r="A168" s="8" t="str">
        <x:f>IF('Contract Register'!A168="","",'Contract Register'!A168)</x:f>
      </x:c>
      <x:c r="B168" s="8" t="str">
        <x:f>IF('Contract Register'!A168="","",'Contract Register'!B168)</x:f>
      </x:c>
      <x:c r="C168" s="8" t="str">
        <x:f>IF('Contract Register'!A168="","",'Contract Register'!D168)</x:f>
      </x:c>
      <x:c r="D168" s="12" t="str">
        <x:f>IF('Contract Register'!A168="","",'Contract Register'!I168)</x:f>
      </x:c>
      <x:c r="E168" s="12" t="str">
        <x:f>IF('Contract Register'!A168="","",'Contract Register'!J168)</x:f>
      </x:c>
      <x:c r="F168" s="13" t="str">
        <x:f>IF('Contract Register'!A168="","",'Contract Register'!K168)</x:f>
      </x:c>
      <x:c r="G168" s="8" t="str">
        <x:f>IF('Contract Register'!A168="","",'Contract Register'!L168)</x:f>
      </x:c>
      <x:c r="H168" s="8" t="str">
        <x:f>IF(A168="","",IF(F168&lt;=30,"Escalate now",IF(F168&lt;=90,"Prepare renewal decision","Monitor")))</x:f>
      </x:c>
    </x:row>
    <x:row r="169">
      <x:c r="A169" s="8" t="str">
        <x:f>IF('Contract Register'!A169="","",'Contract Register'!A169)</x:f>
      </x:c>
      <x:c r="B169" s="8" t="str">
        <x:f>IF('Contract Register'!A169="","",'Contract Register'!B169)</x:f>
      </x:c>
      <x:c r="C169" s="8" t="str">
        <x:f>IF('Contract Register'!A169="","",'Contract Register'!D169)</x:f>
      </x:c>
      <x:c r="D169" s="12" t="str">
        <x:f>IF('Contract Register'!A169="","",'Contract Register'!I169)</x:f>
      </x:c>
      <x:c r="E169" s="12" t="str">
        <x:f>IF('Contract Register'!A169="","",'Contract Register'!J169)</x:f>
      </x:c>
      <x:c r="F169" s="13" t="str">
        <x:f>IF('Contract Register'!A169="","",'Contract Register'!K169)</x:f>
      </x:c>
      <x:c r="G169" s="8" t="str">
        <x:f>IF('Contract Register'!A169="","",'Contract Register'!L169)</x:f>
      </x:c>
      <x:c r="H169" s="8" t="str">
        <x:f>IF(A169="","",IF(F169&lt;=30,"Escalate now",IF(F169&lt;=90,"Prepare renewal decision","Monitor")))</x:f>
      </x:c>
    </x:row>
    <x:row r="170">
      <x:c r="A170" s="8" t="str">
        <x:f>IF('Contract Register'!A170="","",'Contract Register'!A170)</x:f>
      </x:c>
      <x:c r="B170" s="8" t="str">
        <x:f>IF('Contract Register'!A170="","",'Contract Register'!B170)</x:f>
      </x:c>
      <x:c r="C170" s="8" t="str">
        <x:f>IF('Contract Register'!A170="","",'Contract Register'!D170)</x:f>
      </x:c>
      <x:c r="D170" s="12" t="str">
        <x:f>IF('Contract Register'!A170="","",'Contract Register'!I170)</x:f>
      </x:c>
      <x:c r="E170" s="12" t="str">
        <x:f>IF('Contract Register'!A170="","",'Contract Register'!J170)</x:f>
      </x:c>
      <x:c r="F170" s="13" t="str">
        <x:f>IF('Contract Register'!A170="","",'Contract Register'!K170)</x:f>
      </x:c>
      <x:c r="G170" s="8" t="str">
        <x:f>IF('Contract Register'!A170="","",'Contract Register'!L170)</x:f>
      </x:c>
      <x:c r="H170" s="8" t="str">
        <x:f>IF(A170="","",IF(F170&lt;=30,"Escalate now",IF(F170&lt;=90,"Prepare renewal decision","Monitor")))</x:f>
      </x:c>
    </x:row>
    <x:row r="171">
      <x:c r="A171" s="8" t="str">
        <x:f>IF('Contract Register'!A171="","",'Contract Register'!A171)</x:f>
      </x:c>
      <x:c r="B171" s="8" t="str">
        <x:f>IF('Contract Register'!A171="","",'Contract Register'!B171)</x:f>
      </x:c>
      <x:c r="C171" s="8" t="str">
        <x:f>IF('Contract Register'!A171="","",'Contract Register'!D171)</x:f>
      </x:c>
      <x:c r="D171" s="12" t="str">
        <x:f>IF('Contract Register'!A171="","",'Contract Register'!I171)</x:f>
      </x:c>
      <x:c r="E171" s="12" t="str">
        <x:f>IF('Contract Register'!A171="","",'Contract Register'!J171)</x:f>
      </x:c>
      <x:c r="F171" s="13" t="str">
        <x:f>IF('Contract Register'!A171="","",'Contract Register'!K171)</x:f>
      </x:c>
      <x:c r="G171" s="8" t="str">
        <x:f>IF('Contract Register'!A171="","",'Contract Register'!L171)</x:f>
      </x:c>
      <x:c r="H171" s="8" t="str">
        <x:f>IF(A171="","",IF(F171&lt;=30,"Escalate now",IF(F171&lt;=90,"Prepare renewal decision","Monitor")))</x:f>
      </x:c>
    </x:row>
    <x:row r="172">
      <x:c r="A172" s="8" t="str">
        <x:f>IF('Contract Register'!A172="","",'Contract Register'!A172)</x:f>
      </x:c>
      <x:c r="B172" s="8" t="str">
        <x:f>IF('Contract Register'!A172="","",'Contract Register'!B172)</x:f>
      </x:c>
      <x:c r="C172" s="8" t="str">
        <x:f>IF('Contract Register'!A172="","",'Contract Register'!D172)</x:f>
      </x:c>
      <x:c r="D172" s="12" t="str">
        <x:f>IF('Contract Register'!A172="","",'Contract Register'!I172)</x:f>
      </x:c>
      <x:c r="E172" s="12" t="str">
        <x:f>IF('Contract Register'!A172="","",'Contract Register'!J172)</x:f>
      </x:c>
      <x:c r="F172" s="13" t="str">
        <x:f>IF('Contract Register'!A172="","",'Contract Register'!K172)</x:f>
      </x:c>
      <x:c r="G172" s="8" t="str">
        <x:f>IF('Contract Register'!A172="","",'Contract Register'!L172)</x:f>
      </x:c>
      <x:c r="H172" s="8" t="str">
        <x:f>IF(A172="","",IF(F172&lt;=30,"Escalate now",IF(F172&lt;=90,"Prepare renewal decision","Monitor")))</x:f>
      </x:c>
    </x:row>
    <x:row r="173">
      <x:c r="A173" s="8" t="str">
        <x:f>IF('Contract Register'!A173="","",'Contract Register'!A173)</x:f>
      </x:c>
      <x:c r="B173" s="8" t="str">
        <x:f>IF('Contract Register'!A173="","",'Contract Register'!B173)</x:f>
      </x:c>
      <x:c r="C173" s="8" t="str">
        <x:f>IF('Contract Register'!A173="","",'Contract Register'!D173)</x:f>
      </x:c>
      <x:c r="D173" s="12" t="str">
        <x:f>IF('Contract Register'!A173="","",'Contract Register'!I173)</x:f>
      </x:c>
      <x:c r="E173" s="12" t="str">
        <x:f>IF('Contract Register'!A173="","",'Contract Register'!J173)</x:f>
      </x:c>
      <x:c r="F173" s="13" t="str">
        <x:f>IF('Contract Register'!A173="","",'Contract Register'!K173)</x:f>
      </x:c>
      <x:c r="G173" s="8" t="str">
        <x:f>IF('Contract Register'!A173="","",'Contract Register'!L173)</x:f>
      </x:c>
      <x:c r="H173" s="8" t="str">
        <x:f>IF(A173="","",IF(F173&lt;=30,"Escalate now",IF(F173&lt;=90,"Prepare renewal decision","Monitor")))</x:f>
      </x:c>
    </x:row>
    <x:row r="174">
      <x:c r="A174" s="8" t="str">
        <x:f>IF('Contract Register'!A174="","",'Contract Register'!A174)</x:f>
      </x:c>
      <x:c r="B174" s="8" t="str">
        <x:f>IF('Contract Register'!A174="","",'Contract Register'!B174)</x:f>
      </x:c>
      <x:c r="C174" s="8" t="str">
        <x:f>IF('Contract Register'!A174="","",'Contract Register'!D174)</x:f>
      </x:c>
      <x:c r="D174" s="12" t="str">
        <x:f>IF('Contract Register'!A174="","",'Contract Register'!I174)</x:f>
      </x:c>
      <x:c r="E174" s="12" t="str">
        <x:f>IF('Contract Register'!A174="","",'Contract Register'!J174)</x:f>
      </x:c>
      <x:c r="F174" s="13" t="str">
        <x:f>IF('Contract Register'!A174="","",'Contract Register'!K174)</x:f>
      </x:c>
      <x:c r="G174" s="8" t="str">
        <x:f>IF('Contract Register'!A174="","",'Contract Register'!L174)</x:f>
      </x:c>
      <x:c r="H174" s="8" t="str">
        <x:f>IF(A174="","",IF(F174&lt;=30,"Escalate now",IF(F174&lt;=90,"Prepare renewal decision","Monitor")))</x:f>
      </x:c>
    </x:row>
    <x:row r="175">
      <x:c r="A175" s="8" t="str">
        <x:f>IF('Contract Register'!A175="","",'Contract Register'!A175)</x:f>
      </x:c>
      <x:c r="B175" s="8" t="str">
        <x:f>IF('Contract Register'!A175="","",'Contract Register'!B175)</x:f>
      </x:c>
      <x:c r="C175" s="8" t="str">
        <x:f>IF('Contract Register'!A175="","",'Contract Register'!D175)</x:f>
      </x:c>
      <x:c r="D175" s="12" t="str">
        <x:f>IF('Contract Register'!A175="","",'Contract Register'!I175)</x:f>
      </x:c>
      <x:c r="E175" s="12" t="str">
        <x:f>IF('Contract Register'!A175="","",'Contract Register'!J175)</x:f>
      </x:c>
      <x:c r="F175" s="13" t="str">
        <x:f>IF('Contract Register'!A175="","",'Contract Register'!K175)</x:f>
      </x:c>
      <x:c r="G175" s="8" t="str">
        <x:f>IF('Contract Register'!A175="","",'Contract Register'!L175)</x:f>
      </x:c>
      <x:c r="H175" s="8" t="str">
        <x:f>IF(A175="","",IF(F175&lt;=30,"Escalate now",IF(F175&lt;=90,"Prepare renewal decision","Monitor")))</x:f>
      </x:c>
    </x:row>
    <x:row r="176">
      <x:c r="A176" s="8" t="str">
        <x:f>IF('Contract Register'!A176="","",'Contract Register'!A176)</x:f>
      </x:c>
      <x:c r="B176" s="8" t="str">
        <x:f>IF('Contract Register'!A176="","",'Contract Register'!B176)</x:f>
      </x:c>
      <x:c r="C176" s="8" t="str">
        <x:f>IF('Contract Register'!A176="","",'Contract Register'!D176)</x:f>
      </x:c>
      <x:c r="D176" s="12" t="str">
        <x:f>IF('Contract Register'!A176="","",'Contract Register'!I176)</x:f>
      </x:c>
      <x:c r="E176" s="12" t="str">
        <x:f>IF('Contract Register'!A176="","",'Contract Register'!J176)</x:f>
      </x:c>
      <x:c r="F176" s="13" t="str">
        <x:f>IF('Contract Register'!A176="","",'Contract Register'!K176)</x:f>
      </x:c>
      <x:c r="G176" s="8" t="str">
        <x:f>IF('Contract Register'!A176="","",'Contract Register'!L176)</x:f>
      </x:c>
      <x:c r="H176" s="8" t="str">
        <x:f>IF(A176="","",IF(F176&lt;=30,"Escalate now",IF(F176&lt;=90,"Prepare renewal decision","Monitor")))</x:f>
      </x:c>
    </x:row>
    <x:row r="177">
      <x:c r="A177" s="8" t="str">
        <x:f>IF('Contract Register'!A177="","",'Contract Register'!A177)</x:f>
      </x:c>
      <x:c r="B177" s="8" t="str">
        <x:f>IF('Contract Register'!A177="","",'Contract Register'!B177)</x:f>
      </x:c>
      <x:c r="C177" s="8" t="str">
        <x:f>IF('Contract Register'!A177="","",'Contract Register'!D177)</x:f>
      </x:c>
      <x:c r="D177" s="12" t="str">
        <x:f>IF('Contract Register'!A177="","",'Contract Register'!I177)</x:f>
      </x:c>
      <x:c r="E177" s="12" t="str">
        <x:f>IF('Contract Register'!A177="","",'Contract Register'!J177)</x:f>
      </x:c>
      <x:c r="F177" s="13" t="str">
        <x:f>IF('Contract Register'!A177="","",'Contract Register'!K177)</x:f>
      </x:c>
      <x:c r="G177" s="8" t="str">
        <x:f>IF('Contract Register'!A177="","",'Contract Register'!L177)</x:f>
      </x:c>
      <x:c r="H177" s="8" t="str">
        <x:f>IF(A177="","",IF(F177&lt;=30,"Escalate now",IF(F177&lt;=90,"Prepare renewal decision","Monitor")))</x:f>
      </x:c>
    </x:row>
    <x:row r="178">
      <x:c r="A178" s="8" t="str">
        <x:f>IF('Contract Register'!A178="","",'Contract Register'!A178)</x:f>
      </x:c>
      <x:c r="B178" s="8" t="str">
        <x:f>IF('Contract Register'!A178="","",'Contract Register'!B178)</x:f>
      </x:c>
      <x:c r="C178" s="8" t="str">
        <x:f>IF('Contract Register'!A178="","",'Contract Register'!D178)</x:f>
      </x:c>
      <x:c r="D178" s="12" t="str">
        <x:f>IF('Contract Register'!A178="","",'Contract Register'!I178)</x:f>
      </x:c>
      <x:c r="E178" s="12" t="str">
        <x:f>IF('Contract Register'!A178="","",'Contract Register'!J178)</x:f>
      </x:c>
      <x:c r="F178" s="13" t="str">
        <x:f>IF('Contract Register'!A178="","",'Contract Register'!K178)</x:f>
      </x:c>
      <x:c r="G178" s="8" t="str">
        <x:f>IF('Contract Register'!A178="","",'Contract Register'!L178)</x:f>
      </x:c>
      <x:c r="H178" s="8" t="str">
        <x:f>IF(A178="","",IF(F178&lt;=30,"Escalate now",IF(F178&lt;=90,"Prepare renewal decision","Monitor")))</x:f>
      </x:c>
    </x:row>
    <x:row r="179">
      <x:c r="A179" s="8" t="str">
        <x:f>IF('Contract Register'!A179="","",'Contract Register'!A179)</x:f>
      </x:c>
      <x:c r="B179" s="8" t="str">
        <x:f>IF('Contract Register'!A179="","",'Contract Register'!B179)</x:f>
      </x:c>
      <x:c r="C179" s="8" t="str">
        <x:f>IF('Contract Register'!A179="","",'Contract Register'!D179)</x:f>
      </x:c>
      <x:c r="D179" s="12" t="str">
        <x:f>IF('Contract Register'!A179="","",'Contract Register'!I179)</x:f>
      </x:c>
      <x:c r="E179" s="12" t="str">
        <x:f>IF('Contract Register'!A179="","",'Contract Register'!J179)</x:f>
      </x:c>
      <x:c r="F179" s="13" t="str">
        <x:f>IF('Contract Register'!A179="","",'Contract Register'!K179)</x:f>
      </x:c>
      <x:c r="G179" s="8" t="str">
        <x:f>IF('Contract Register'!A179="","",'Contract Register'!L179)</x:f>
      </x:c>
      <x:c r="H179" s="8" t="str">
        <x:f>IF(A179="","",IF(F179&lt;=30,"Escalate now",IF(F179&lt;=90,"Prepare renewal decision","Monitor")))</x:f>
      </x:c>
    </x:row>
    <x:row r="180">
      <x:c r="A180" s="8" t="str">
        <x:f>IF('Contract Register'!A180="","",'Contract Register'!A180)</x:f>
      </x:c>
      <x:c r="B180" s="8" t="str">
        <x:f>IF('Contract Register'!A180="","",'Contract Register'!B180)</x:f>
      </x:c>
      <x:c r="C180" s="8" t="str">
        <x:f>IF('Contract Register'!A180="","",'Contract Register'!D180)</x:f>
      </x:c>
      <x:c r="D180" s="12" t="str">
        <x:f>IF('Contract Register'!A180="","",'Contract Register'!I180)</x:f>
      </x:c>
      <x:c r="E180" s="12" t="str">
        <x:f>IF('Contract Register'!A180="","",'Contract Register'!J180)</x:f>
      </x:c>
      <x:c r="F180" s="13" t="str">
        <x:f>IF('Contract Register'!A180="","",'Contract Register'!K180)</x:f>
      </x:c>
      <x:c r="G180" s="8" t="str">
        <x:f>IF('Contract Register'!A180="","",'Contract Register'!L180)</x:f>
      </x:c>
      <x:c r="H180" s="8" t="str">
        <x:f>IF(A180="","",IF(F180&lt;=30,"Escalate now",IF(F180&lt;=90,"Prepare renewal decision","Monitor")))</x:f>
      </x:c>
    </x:row>
    <x:row r="181">
      <x:c r="A181" s="8" t="str">
        <x:f>IF('Contract Register'!A181="","",'Contract Register'!A181)</x:f>
      </x:c>
      <x:c r="B181" s="8" t="str">
        <x:f>IF('Contract Register'!A181="","",'Contract Register'!B181)</x:f>
      </x:c>
      <x:c r="C181" s="8" t="str">
        <x:f>IF('Contract Register'!A181="","",'Contract Register'!D181)</x:f>
      </x:c>
      <x:c r="D181" s="12" t="str">
        <x:f>IF('Contract Register'!A181="","",'Contract Register'!I181)</x:f>
      </x:c>
      <x:c r="E181" s="12" t="str">
        <x:f>IF('Contract Register'!A181="","",'Contract Register'!J181)</x:f>
      </x:c>
      <x:c r="F181" s="13" t="str">
        <x:f>IF('Contract Register'!A181="","",'Contract Register'!K181)</x:f>
      </x:c>
      <x:c r="G181" s="8" t="str">
        <x:f>IF('Contract Register'!A181="","",'Contract Register'!L181)</x:f>
      </x:c>
      <x:c r="H181" s="8" t="str">
        <x:f>IF(A181="","",IF(F181&lt;=30,"Escalate now",IF(F181&lt;=90,"Prepare renewal decision","Monitor")))</x:f>
      </x:c>
    </x:row>
    <x:row r="182">
      <x:c r="A182" s="8" t="str">
        <x:f>IF('Contract Register'!A182="","",'Contract Register'!A182)</x:f>
      </x:c>
      <x:c r="B182" s="8" t="str">
        <x:f>IF('Contract Register'!A182="","",'Contract Register'!B182)</x:f>
      </x:c>
      <x:c r="C182" s="8" t="str">
        <x:f>IF('Contract Register'!A182="","",'Contract Register'!D182)</x:f>
      </x:c>
      <x:c r="D182" s="12" t="str">
        <x:f>IF('Contract Register'!A182="","",'Contract Register'!I182)</x:f>
      </x:c>
      <x:c r="E182" s="12" t="str">
        <x:f>IF('Contract Register'!A182="","",'Contract Register'!J182)</x:f>
      </x:c>
      <x:c r="F182" s="13" t="str">
        <x:f>IF('Contract Register'!A182="","",'Contract Register'!K182)</x:f>
      </x:c>
      <x:c r="G182" s="8" t="str">
        <x:f>IF('Contract Register'!A182="","",'Contract Register'!L182)</x:f>
      </x:c>
      <x:c r="H182" s="8" t="str">
        <x:f>IF(A182="","",IF(F182&lt;=30,"Escalate now",IF(F182&lt;=90,"Prepare renewal decision","Monitor")))</x:f>
      </x:c>
    </x:row>
    <x:row r="183">
      <x:c r="A183" s="8" t="str">
        <x:f>IF('Contract Register'!A183="","",'Contract Register'!A183)</x:f>
      </x:c>
      <x:c r="B183" s="8" t="str">
        <x:f>IF('Contract Register'!A183="","",'Contract Register'!B183)</x:f>
      </x:c>
      <x:c r="C183" s="8" t="str">
        <x:f>IF('Contract Register'!A183="","",'Contract Register'!D183)</x:f>
      </x:c>
      <x:c r="D183" s="12" t="str">
        <x:f>IF('Contract Register'!A183="","",'Contract Register'!I183)</x:f>
      </x:c>
      <x:c r="E183" s="12" t="str">
        <x:f>IF('Contract Register'!A183="","",'Contract Register'!J183)</x:f>
      </x:c>
      <x:c r="F183" s="13" t="str">
        <x:f>IF('Contract Register'!A183="","",'Contract Register'!K183)</x:f>
      </x:c>
      <x:c r="G183" s="8" t="str">
        <x:f>IF('Contract Register'!A183="","",'Contract Register'!L183)</x:f>
      </x:c>
      <x:c r="H183" s="8" t="str">
        <x:f>IF(A183="","",IF(F183&lt;=30,"Escalate now",IF(F183&lt;=90,"Prepare renewal decision","Monitor")))</x:f>
      </x:c>
    </x:row>
    <x:row r="184">
      <x:c r="A184" s="8" t="str">
        <x:f>IF('Contract Register'!A184="","",'Contract Register'!A184)</x:f>
      </x:c>
      <x:c r="B184" s="8" t="str">
        <x:f>IF('Contract Register'!A184="","",'Contract Register'!B184)</x:f>
      </x:c>
      <x:c r="C184" s="8" t="str">
        <x:f>IF('Contract Register'!A184="","",'Contract Register'!D184)</x:f>
      </x:c>
      <x:c r="D184" s="12" t="str">
        <x:f>IF('Contract Register'!A184="","",'Contract Register'!I184)</x:f>
      </x:c>
      <x:c r="E184" s="12" t="str">
        <x:f>IF('Contract Register'!A184="","",'Contract Register'!J184)</x:f>
      </x:c>
      <x:c r="F184" s="13" t="str">
        <x:f>IF('Contract Register'!A184="","",'Contract Register'!K184)</x:f>
      </x:c>
      <x:c r="G184" s="8" t="str">
        <x:f>IF('Contract Register'!A184="","",'Contract Register'!L184)</x:f>
      </x:c>
      <x:c r="H184" s="8" t="str">
        <x:f>IF(A184="","",IF(F184&lt;=30,"Escalate now",IF(F184&lt;=90,"Prepare renewal decision","Monitor")))</x:f>
      </x:c>
    </x:row>
    <x:row r="185">
      <x:c r="A185" s="8" t="str">
        <x:f>IF('Contract Register'!A185="","",'Contract Register'!A185)</x:f>
      </x:c>
      <x:c r="B185" s="8" t="str">
        <x:f>IF('Contract Register'!A185="","",'Contract Register'!B185)</x:f>
      </x:c>
      <x:c r="C185" s="8" t="str">
        <x:f>IF('Contract Register'!A185="","",'Contract Register'!D185)</x:f>
      </x:c>
      <x:c r="D185" s="12" t="str">
        <x:f>IF('Contract Register'!A185="","",'Contract Register'!I185)</x:f>
      </x:c>
      <x:c r="E185" s="12" t="str">
        <x:f>IF('Contract Register'!A185="","",'Contract Register'!J185)</x:f>
      </x:c>
      <x:c r="F185" s="13" t="str">
        <x:f>IF('Contract Register'!A185="","",'Contract Register'!K185)</x:f>
      </x:c>
      <x:c r="G185" s="8" t="str">
        <x:f>IF('Contract Register'!A185="","",'Contract Register'!L185)</x:f>
      </x:c>
      <x:c r="H185" s="8" t="str">
        <x:f>IF(A185="","",IF(F185&lt;=30,"Escalate now",IF(F185&lt;=90,"Prepare renewal decision","Monitor")))</x:f>
      </x:c>
    </x:row>
    <x:row r="186">
      <x:c r="A186" s="8" t="str">
        <x:f>IF('Contract Register'!A186="","",'Contract Register'!A186)</x:f>
      </x:c>
      <x:c r="B186" s="8" t="str">
        <x:f>IF('Contract Register'!A186="","",'Contract Register'!B186)</x:f>
      </x:c>
      <x:c r="C186" s="8" t="str">
        <x:f>IF('Contract Register'!A186="","",'Contract Register'!D186)</x:f>
      </x:c>
      <x:c r="D186" s="12" t="str">
        <x:f>IF('Contract Register'!A186="","",'Contract Register'!I186)</x:f>
      </x:c>
      <x:c r="E186" s="12" t="str">
        <x:f>IF('Contract Register'!A186="","",'Contract Register'!J186)</x:f>
      </x:c>
      <x:c r="F186" s="13" t="str">
        <x:f>IF('Contract Register'!A186="","",'Contract Register'!K186)</x:f>
      </x:c>
      <x:c r="G186" s="8" t="str">
        <x:f>IF('Contract Register'!A186="","",'Contract Register'!L186)</x:f>
      </x:c>
      <x:c r="H186" s="8" t="str">
        <x:f>IF(A186="","",IF(F186&lt;=30,"Escalate now",IF(F186&lt;=90,"Prepare renewal decision","Monitor")))</x:f>
      </x:c>
    </x:row>
    <x:row r="187">
      <x:c r="A187" s="8" t="str">
        <x:f>IF('Contract Register'!A187="","",'Contract Register'!A187)</x:f>
      </x:c>
      <x:c r="B187" s="8" t="str">
        <x:f>IF('Contract Register'!A187="","",'Contract Register'!B187)</x:f>
      </x:c>
      <x:c r="C187" s="8" t="str">
        <x:f>IF('Contract Register'!A187="","",'Contract Register'!D187)</x:f>
      </x:c>
      <x:c r="D187" s="12" t="str">
        <x:f>IF('Contract Register'!A187="","",'Contract Register'!I187)</x:f>
      </x:c>
      <x:c r="E187" s="12" t="str">
        <x:f>IF('Contract Register'!A187="","",'Contract Register'!J187)</x:f>
      </x:c>
      <x:c r="F187" s="13" t="str">
        <x:f>IF('Contract Register'!A187="","",'Contract Register'!K187)</x:f>
      </x:c>
      <x:c r="G187" s="8" t="str">
        <x:f>IF('Contract Register'!A187="","",'Contract Register'!L187)</x:f>
      </x:c>
      <x:c r="H187" s="8" t="str">
        <x:f>IF(A187="","",IF(F187&lt;=30,"Escalate now",IF(F187&lt;=90,"Prepare renewal decision","Monitor")))</x:f>
      </x:c>
    </x:row>
    <x:row r="188">
      <x:c r="A188" s="8" t="str">
        <x:f>IF('Contract Register'!A188="","",'Contract Register'!A188)</x:f>
      </x:c>
      <x:c r="B188" s="8" t="str">
        <x:f>IF('Contract Register'!A188="","",'Contract Register'!B188)</x:f>
      </x:c>
      <x:c r="C188" s="8" t="str">
        <x:f>IF('Contract Register'!A188="","",'Contract Register'!D188)</x:f>
      </x:c>
      <x:c r="D188" s="12" t="str">
        <x:f>IF('Contract Register'!A188="","",'Contract Register'!I188)</x:f>
      </x:c>
      <x:c r="E188" s="12" t="str">
        <x:f>IF('Contract Register'!A188="","",'Contract Register'!J188)</x:f>
      </x:c>
      <x:c r="F188" s="13" t="str">
        <x:f>IF('Contract Register'!A188="","",'Contract Register'!K188)</x:f>
      </x:c>
      <x:c r="G188" s="8" t="str">
        <x:f>IF('Contract Register'!A188="","",'Contract Register'!L188)</x:f>
      </x:c>
      <x:c r="H188" s="8" t="str">
        <x:f>IF(A188="","",IF(F188&lt;=30,"Escalate now",IF(F188&lt;=90,"Prepare renewal decision","Monitor")))</x:f>
      </x:c>
    </x:row>
    <x:row r="189">
      <x:c r="A189" s="8" t="str">
        <x:f>IF('Contract Register'!A189="","",'Contract Register'!A189)</x:f>
      </x:c>
      <x:c r="B189" s="8" t="str">
        <x:f>IF('Contract Register'!A189="","",'Contract Register'!B189)</x:f>
      </x:c>
      <x:c r="C189" s="8" t="str">
        <x:f>IF('Contract Register'!A189="","",'Contract Register'!D189)</x:f>
      </x:c>
      <x:c r="D189" s="12" t="str">
        <x:f>IF('Contract Register'!A189="","",'Contract Register'!I189)</x:f>
      </x:c>
      <x:c r="E189" s="12" t="str">
        <x:f>IF('Contract Register'!A189="","",'Contract Register'!J189)</x:f>
      </x:c>
      <x:c r="F189" s="13" t="str">
        <x:f>IF('Contract Register'!A189="","",'Contract Register'!K189)</x:f>
      </x:c>
      <x:c r="G189" s="8" t="str">
        <x:f>IF('Contract Register'!A189="","",'Contract Register'!L189)</x:f>
      </x:c>
      <x:c r="H189" s="8" t="str">
        <x:f>IF(A189="","",IF(F189&lt;=30,"Escalate now",IF(F189&lt;=90,"Prepare renewal decision","Monitor")))</x:f>
      </x:c>
    </x:row>
    <x:row r="190">
      <x:c r="A190" s="8" t="str">
        <x:f>IF('Contract Register'!A190="","",'Contract Register'!A190)</x:f>
      </x:c>
      <x:c r="B190" s="8" t="str">
        <x:f>IF('Contract Register'!A190="","",'Contract Register'!B190)</x:f>
      </x:c>
      <x:c r="C190" s="8" t="str">
        <x:f>IF('Contract Register'!A190="","",'Contract Register'!D190)</x:f>
      </x:c>
      <x:c r="D190" s="12" t="str">
        <x:f>IF('Contract Register'!A190="","",'Contract Register'!I190)</x:f>
      </x:c>
      <x:c r="E190" s="12" t="str">
        <x:f>IF('Contract Register'!A190="","",'Contract Register'!J190)</x:f>
      </x:c>
      <x:c r="F190" s="13" t="str">
        <x:f>IF('Contract Register'!A190="","",'Contract Register'!K190)</x:f>
      </x:c>
      <x:c r="G190" s="8" t="str">
        <x:f>IF('Contract Register'!A190="","",'Contract Register'!L190)</x:f>
      </x:c>
      <x:c r="H190" s="8" t="str">
        <x:f>IF(A190="","",IF(F190&lt;=30,"Escalate now",IF(F190&lt;=90,"Prepare renewal decision","Monitor")))</x:f>
      </x:c>
    </x:row>
    <x:row r="191">
      <x:c r="A191" s="8" t="str">
        <x:f>IF('Contract Register'!A191="","",'Contract Register'!A191)</x:f>
      </x:c>
      <x:c r="B191" s="8" t="str">
        <x:f>IF('Contract Register'!A191="","",'Contract Register'!B191)</x:f>
      </x:c>
      <x:c r="C191" s="8" t="str">
        <x:f>IF('Contract Register'!A191="","",'Contract Register'!D191)</x:f>
      </x:c>
      <x:c r="D191" s="12" t="str">
        <x:f>IF('Contract Register'!A191="","",'Contract Register'!I191)</x:f>
      </x:c>
      <x:c r="E191" s="12" t="str">
        <x:f>IF('Contract Register'!A191="","",'Contract Register'!J191)</x:f>
      </x:c>
      <x:c r="F191" s="13" t="str">
        <x:f>IF('Contract Register'!A191="","",'Contract Register'!K191)</x:f>
      </x:c>
      <x:c r="G191" s="8" t="str">
        <x:f>IF('Contract Register'!A191="","",'Contract Register'!L191)</x:f>
      </x:c>
      <x:c r="H191" s="8" t="str">
        <x:f>IF(A191="","",IF(F191&lt;=30,"Escalate now",IF(F191&lt;=90,"Prepare renewal decision","Monitor")))</x:f>
      </x:c>
    </x:row>
    <x:row r="192">
      <x:c r="A192" s="8" t="str">
        <x:f>IF('Contract Register'!A192="","",'Contract Register'!A192)</x:f>
      </x:c>
      <x:c r="B192" s="8" t="str">
        <x:f>IF('Contract Register'!A192="","",'Contract Register'!B192)</x:f>
      </x:c>
      <x:c r="C192" s="8" t="str">
        <x:f>IF('Contract Register'!A192="","",'Contract Register'!D192)</x:f>
      </x:c>
      <x:c r="D192" s="12" t="str">
        <x:f>IF('Contract Register'!A192="","",'Contract Register'!I192)</x:f>
      </x:c>
      <x:c r="E192" s="12" t="str">
        <x:f>IF('Contract Register'!A192="","",'Contract Register'!J192)</x:f>
      </x:c>
      <x:c r="F192" s="13" t="str">
        <x:f>IF('Contract Register'!A192="","",'Contract Register'!K192)</x:f>
      </x:c>
      <x:c r="G192" s="8" t="str">
        <x:f>IF('Contract Register'!A192="","",'Contract Register'!L192)</x:f>
      </x:c>
      <x:c r="H192" s="8" t="str">
        <x:f>IF(A192="","",IF(F192&lt;=30,"Escalate now",IF(F192&lt;=90,"Prepare renewal decision","Monitor")))</x:f>
      </x:c>
    </x:row>
    <x:row r="193">
      <x:c r="A193" s="8" t="str">
        <x:f>IF('Contract Register'!A193="","",'Contract Register'!A193)</x:f>
      </x:c>
      <x:c r="B193" s="8" t="str">
        <x:f>IF('Contract Register'!A193="","",'Contract Register'!B193)</x:f>
      </x:c>
      <x:c r="C193" s="8" t="str">
        <x:f>IF('Contract Register'!A193="","",'Contract Register'!D193)</x:f>
      </x:c>
      <x:c r="D193" s="12" t="str">
        <x:f>IF('Contract Register'!A193="","",'Contract Register'!I193)</x:f>
      </x:c>
      <x:c r="E193" s="12" t="str">
        <x:f>IF('Contract Register'!A193="","",'Contract Register'!J193)</x:f>
      </x:c>
      <x:c r="F193" s="13" t="str">
        <x:f>IF('Contract Register'!A193="","",'Contract Register'!K193)</x:f>
      </x:c>
      <x:c r="G193" s="8" t="str">
        <x:f>IF('Contract Register'!A193="","",'Contract Register'!L193)</x:f>
      </x:c>
      <x:c r="H193" s="8" t="str">
        <x:f>IF(A193="","",IF(F193&lt;=30,"Escalate now",IF(F193&lt;=90,"Prepare renewal decision","Monitor")))</x:f>
      </x:c>
    </x:row>
    <x:row r="194">
      <x:c r="A194" s="8" t="str">
        <x:f>IF('Contract Register'!A194="","",'Contract Register'!A194)</x:f>
      </x:c>
      <x:c r="B194" s="8" t="str">
        <x:f>IF('Contract Register'!A194="","",'Contract Register'!B194)</x:f>
      </x:c>
      <x:c r="C194" s="8" t="str">
        <x:f>IF('Contract Register'!A194="","",'Contract Register'!D194)</x:f>
      </x:c>
      <x:c r="D194" s="12" t="str">
        <x:f>IF('Contract Register'!A194="","",'Contract Register'!I194)</x:f>
      </x:c>
      <x:c r="E194" s="12" t="str">
        <x:f>IF('Contract Register'!A194="","",'Contract Register'!J194)</x:f>
      </x:c>
      <x:c r="F194" s="13" t="str">
        <x:f>IF('Contract Register'!A194="","",'Contract Register'!K194)</x:f>
      </x:c>
      <x:c r="G194" s="8" t="str">
        <x:f>IF('Contract Register'!A194="","",'Contract Register'!L194)</x:f>
      </x:c>
      <x:c r="H194" s="8" t="str">
        <x:f>IF(A194="","",IF(F194&lt;=30,"Escalate now",IF(F194&lt;=90,"Prepare renewal decision","Monitor")))</x:f>
      </x:c>
    </x:row>
    <x:row r="195">
      <x:c r="A195" s="8" t="str">
        <x:f>IF('Contract Register'!A195="","",'Contract Register'!A195)</x:f>
      </x:c>
      <x:c r="B195" s="8" t="str">
        <x:f>IF('Contract Register'!A195="","",'Contract Register'!B195)</x:f>
      </x:c>
      <x:c r="C195" s="8" t="str">
        <x:f>IF('Contract Register'!A195="","",'Contract Register'!D195)</x:f>
      </x:c>
      <x:c r="D195" s="12" t="str">
        <x:f>IF('Contract Register'!A195="","",'Contract Register'!I195)</x:f>
      </x:c>
      <x:c r="E195" s="12" t="str">
        <x:f>IF('Contract Register'!A195="","",'Contract Register'!J195)</x:f>
      </x:c>
      <x:c r="F195" s="13" t="str">
        <x:f>IF('Contract Register'!A195="","",'Contract Register'!K195)</x:f>
      </x:c>
      <x:c r="G195" s="8" t="str">
        <x:f>IF('Contract Register'!A195="","",'Contract Register'!L195)</x:f>
      </x:c>
      <x:c r="H195" s="8" t="str">
        <x:f>IF(A195="","",IF(F195&lt;=30,"Escalate now",IF(F195&lt;=90,"Prepare renewal decision","Monitor")))</x:f>
      </x:c>
    </x:row>
    <x:row r="196">
      <x:c r="A196" s="8" t="str">
        <x:f>IF('Contract Register'!A196="","",'Contract Register'!A196)</x:f>
      </x:c>
      <x:c r="B196" s="8" t="str">
        <x:f>IF('Contract Register'!A196="","",'Contract Register'!B196)</x:f>
      </x:c>
      <x:c r="C196" s="8" t="str">
        <x:f>IF('Contract Register'!A196="","",'Contract Register'!D196)</x:f>
      </x:c>
      <x:c r="D196" s="12" t="str">
        <x:f>IF('Contract Register'!A196="","",'Contract Register'!I196)</x:f>
      </x:c>
      <x:c r="E196" s="12" t="str">
        <x:f>IF('Contract Register'!A196="","",'Contract Register'!J196)</x:f>
      </x:c>
      <x:c r="F196" s="13" t="str">
        <x:f>IF('Contract Register'!A196="","",'Contract Register'!K196)</x:f>
      </x:c>
      <x:c r="G196" s="8" t="str">
        <x:f>IF('Contract Register'!A196="","",'Contract Register'!L196)</x:f>
      </x:c>
      <x:c r="H196" s="8" t="str">
        <x:f>IF(A196="","",IF(F196&lt;=30,"Escalate now",IF(F196&lt;=90,"Prepare renewal decision","Monitor")))</x:f>
      </x:c>
    </x:row>
    <x:row r="197">
      <x:c r="A197" s="8" t="str">
        <x:f>IF('Contract Register'!A197="","",'Contract Register'!A197)</x:f>
      </x:c>
      <x:c r="B197" s="8" t="str">
        <x:f>IF('Contract Register'!A197="","",'Contract Register'!B197)</x:f>
      </x:c>
      <x:c r="C197" s="8" t="str">
        <x:f>IF('Contract Register'!A197="","",'Contract Register'!D197)</x:f>
      </x:c>
      <x:c r="D197" s="12" t="str">
        <x:f>IF('Contract Register'!A197="","",'Contract Register'!I197)</x:f>
      </x:c>
      <x:c r="E197" s="12" t="str">
        <x:f>IF('Contract Register'!A197="","",'Contract Register'!J197)</x:f>
      </x:c>
      <x:c r="F197" s="13" t="str">
        <x:f>IF('Contract Register'!A197="","",'Contract Register'!K197)</x:f>
      </x:c>
      <x:c r="G197" s="8" t="str">
        <x:f>IF('Contract Register'!A197="","",'Contract Register'!L197)</x:f>
      </x:c>
      <x:c r="H197" s="8" t="str">
        <x:f>IF(A197="","",IF(F197&lt;=30,"Escalate now",IF(F197&lt;=90,"Prepare renewal decision","Monitor")))</x:f>
      </x:c>
    </x:row>
    <x:row r="198">
      <x:c r="A198" s="8" t="str">
        <x:f>IF('Contract Register'!A198="","",'Contract Register'!A198)</x:f>
      </x:c>
      <x:c r="B198" s="8" t="str">
        <x:f>IF('Contract Register'!A198="","",'Contract Register'!B198)</x:f>
      </x:c>
      <x:c r="C198" s="8" t="str">
        <x:f>IF('Contract Register'!A198="","",'Contract Register'!D198)</x:f>
      </x:c>
      <x:c r="D198" s="12" t="str">
        <x:f>IF('Contract Register'!A198="","",'Contract Register'!I198)</x:f>
      </x:c>
      <x:c r="E198" s="12" t="str">
        <x:f>IF('Contract Register'!A198="","",'Contract Register'!J198)</x:f>
      </x:c>
      <x:c r="F198" s="13" t="str">
        <x:f>IF('Contract Register'!A198="","",'Contract Register'!K198)</x:f>
      </x:c>
      <x:c r="G198" s="8" t="str">
        <x:f>IF('Contract Register'!A198="","",'Contract Register'!L198)</x:f>
      </x:c>
      <x:c r="H198" s="8" t="str">
        <x:f>IF(A198="","",IF(F198&lt;=30,"Escalate now",IF(F198&lt;=90,"Prepare renewal decision","Monitor")))</x:f>
      </x:c>
    </x:row>
    <x:row r="199">
      <x:c r="A199" s="8" t="str">
        <x:f>IF('Contract Register'!A199="","",'Contract Register'!A199)</x:f>
      </x:c>
      <x:c r="B199" s="8" t="str">
        <x:f>IF('Contract Register'!A199="","",'Contract Register'!B199)</x:f>
      </x:c>
      <x:c r="C199" s="8" t="str">
        <x:f>IF('Contract Register'!A199="","",'Contract Register'!D199)</x:f>
      </x:c>
      <x:c r="D199" s="12" t="str">
        <x:f>IF('Contract Register'!A199="","",'Contract Register'!I199)</x:f>
      </x:c>
      <x:c r="E199" s="12" t="str">
        <x:f>IF('Contract Register'!A199="","",'Contract Register'!J199)</x:f>
      </x:c>
      <x:c r="F199" s="13" t="str">
        <x:f>IF('Contract Register'!A199="","",'Contract Register'!K199)</x:f>
      </x:c>
      <x:c r="G199" s="8" t="str">
        <x:f>IF('Contract Register'!A199="","",'Contract Register'!L199)</x:f>
      </x:c>
      <x:c r="H199" s="8" t="str">
        <x:f>IF(A199="","",IF(F199&lt;=30,"Escalate now",IF(F199&lt;=90,"Prepare renewal decision","Monitor")))</x:f>
      </x:c>
    </x:row>
    <x:row r="200">
      <x:c r="A200" s="8" t="str">
        <x:f>IF('Contract Register'!A200="","",'Contract Register'!A200)</x:f>
      </x:c>
      <x:c r="B200" s="8" t="str">
        <x:f>IF('Contract Register'!A200="","",'Contract Register'!B200)</x:f>
      </x:c>
      <x:c r="C200" s="8" t="str">
        <x:f>IF('Contract Register'!A200="","",'Contract Register'!D200)</x:f>
      </x:c>
      <x:c r="D200" s="12" t="str">
        <x:f>IF('Contract Register'!A200="","",'Contract Register'!I200)</x:f>
      </x:c>
      <x:c r="E200" s="12" t="str">
        <x:f>IF('Contract Register'!A200="","",'Contract Register'!J200)</x:f>
      </x:c>
      <x:c r="F200" s="13" t="str">
        <x:f>IF('Contract Register'!A200="","",'Contract Register'!K200)</x:f>
      </x:c>
      <x:c r="G200" s="8" t="str">
        <x:f>IF('Contract Register'!A200="","",'Contract Register'!L200)</x:f>
      </x:c>
      <x:c r="H200" s="8" t="str">
        <x:f>IF(A200="","",IF(F200&lt;=30,"Escalate now",IF(F200&lt;=90,"Prepare renewal decision","Monitor")))</x:f>
      </x:c>
    </x:row>
    <x:row r="201">
      <x:c r="A201" s="8" t="str">
        <x:f>IF('Contract Register'!A201="","",'Contract Register'!A201)</x:f>
      </x:c>
      <x:c r="B201" s="8" t="str">
        <x:f>IF('Contract Register'!A201="","",'Contract Register'!B201)</x:f>
      </x:c>
      <x:c r="C201" s="8" t="str">
        <x:f>IF('Contract Register'!A201="","",'Contract Register'!D201)</x:f>
      </x:c>
      <x:c r="D201" s="12" t="str">
        <x:f>IF('Contract Register'!A201="","",'Contract Register'!I201)</x:f>
      </x:c>
      <x:c r="E201" s="12" t="str">
        <x:f>IF('Contract Register'!A201="","",'Contract Register'!J201)</x:f>
      </x:c>
      <x:c r="F201" s="13" t="str">
        <x:f>IF('Contract Register'!A201="","",'Contract Register'!K201)</x:f>
      </x:c>
      <x:c r="G201" s="8" t="str">
        <x:f>IF('Contract Register'!A201="","",'Contract Register'!L201)</x:f>
      </x:c>
      <x:c r="H201" s="8" t="str">
        <x:f>IF(A201="","",IF(F201&lt;=30,"Escalate now",IF(F201&lt;=90,"Prepare renewal decision","Monitor")))</x:f>
      </x:c>
    </x:row>
    <x:row r="202">
      <x:c r="A202" s="8" t="str">
        <x:f>IF('Contract Register'!A202="","",'Contract Register'!A202)</x:f>
      </x:c>
      <x:c r="B202" s="8" t="str">
        <x:f>IF('Contract Register'!A202="","",'Contract Register'!B202)</x:f>
      </x:c>
      <x:c r="C202" s="8" t="str">
        <x:f>IF('Contract Register'!A202="","",'Contract Register'!D202)</x:f>
      </x:c>
      <x:c r="D202" s="12" t="str">
        <x:f>IF('Contract Register'!A202="","",'Contract Register'!I202)</x:f>
      </x:c>
      <x:c r="E202" s="12" t="str">
        <x:f>IF('Contract Register'!A202="","",'Contract Register'!J202)</x:f>
      </x:c>
      <x:c r="F202" s="13" t="str">
        <x:f>IF('Contract Register'!A202="","",'Contract Register'!K202)</x:f>
      </x:c>
      <x:c r="G202" s="8" t="str">
        <x:f>IF('Contract Register'!A202="","",'Contract Register'!L202)</x:f>
      </x:c>
      <x:c r="H202" s="8" t="str">
        <x:f>IF(A202="","",IF(F202&lt;=30,"Escalate now",IF(F202&lt;=90,"Prepare renewal decision","Monitor")))</x:f>
      </x:c>
    </x:row>
    <x:row r="203">
      <x:c r="A203" s="8" t="str">
        <x:f>IF('Contract Register'!A203="","",'Contract Register'!A203)</x:f>
      </x:c>
      <x:c r="B203" s="8" t="str">
        <x:f>IF('Contract Register'!A203="","",'Contract Register'!B203)</x:f>
      </x:c>
      <x:c r="C203" s="8" t="str">
        <x:f>IF('Contract Register'!A203="","",'Contract Register'!D203)</x:f>
      </x:c>
      <x:c r="D203" s="12" t="str">
        <x:f>IF('Contract Register'!A203="","",'Contract Register'!I203)</x:f>
      </x:c>
      <x:c r="E203" s="12" t="str">
        <x:f>IF('Contract Register'!A203="","",'Contract Register'!J203)</x:f>
      </x:c>
      <x:c r="F203" s="13" t="str">
        <x:f>IF('Contract Register'!A203="","",'Contract Register'!K203)</x:f>
      </x:c>
      <x:c r="G203" s="8" t="str">
        <x:f>IF('Contract Register'!A203="","",'Contract Register'!L203)</x:f>
      </x:c>
      <x:c r="H203" s="8" t="str">
        <x:f>IF(A203="","",IF(F203&lt;=30,"Escalate now",IF(F203&lt;=90,"Prepare renewal decision","Monitor")))</x:f>
      </x:c>
    </x:row>
    <x:row r="204">
      <x:c r="A204" s="8" t="str">
        <x:f>IF('Contract Register'!A204="","",'Contract Register'!A204)</x:f>
      </x:c>
      <x:c r="B204" s="8" t="str">
        <x:f>IF('Contract Register'!A204="","",'Contract Register'!B204)</x:f>
      </x:c>
      <x:c r="C204" s="8" t="str">
        <x:f>IF('Contract Register'!A204="","",'Contract Register'!D204)</x:f>
      </x:c>
      <x:c r="D204" s="12" t="str">
        <x:f>IF('Contract Register'!A204="","",'Contract Register'!I204)</x:f>
      </x:c>
      <x:c r="E204" s="12" t="str">
        <x:f>IF('Contract Register'!A204="","",'Contract Register'!J204)</x:f>
      </x:c>
      <x:c r="F204" s="13" t="str">
        <x:f>IF('Contract Register'!A204="","",'Contract Register'!K204)</x:f>
      </x:c>
      <x:c r="G204" s="8" t="str">
        <x:f>IF('Contract Register'!A204="","",'Contract Register'!L204)</x:f>
      </x:c>
      <x:c r="H204" s="8" t="str">
        <x:f>IF(A204="","",IF(F204&lt;=30,"Escalate now",IF(F204&lt;=90,"Prepare renewal decision","Monitor")))</x:f>
      </x:c>
    </x:row>
  </x:sheetData>
  <x:mergeCells>
    <x:mergeCell ref="A1:H1"/>
    <x:mergeCell ref="A2:H2"/>
  </x:mergeCells>
  <x:conditionalFormatting sqref="F5:F9">
    <x:cfRule type="cellIs" dxfId="4" priority="1" operator="lessThanOrEqual">
      <x:formula>30</x:formula>
    </x:cfRule>
    <x:cfRule type="cellIs" dxfId="5" priority="2" operator="between">
      <x:formula>31</x:formula>
      <x:formula>90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5.630001068115234" hidden="0" customWidth="1"/>
    <x:col min="3" max="3" width="35.630001068115234" hidden="0" customWidth="1"/>
    <x:col min="4" max="4" width="35.630001068115234" hidden="0" customWidth="1"/>
  </x:cols>
  <x:sheetData>
    <x:row r="1" ht="25.5" customHeight="1">
      <x:c r="A1" s="2" t="str">
        <x:v>Clause Playbook</x:v>
      </x:c>
    </x:row>
    <x:row r="2">
      <x:c r="A2" s="10" t="str">
        <x:v>Negotiation positions and escalation triggers.</x:v>
      </x:c>
    </x:row>
    <x:row r="4">
      <x:c r="A4" s="6" t="str">
        <x:v>Clause</x:v>
      </x:c>
      <x:c r="B4" s="6" t="str">
        <x:v>Preferred Position</x:v>
      </x:c>
      <x:c r="C4" s="6" t="str">
        <x:v>Fallback</x:v>
      </x:c>
      <x:c r="D4" s="6" t="str">
        <x:v>Escalate When</x:v>
      </x:c>
    </x:row>
    <x:row r="5">
      <x:c r="A5" s="8" t="str">
        <x:v>Liability Cap</x:v>
      </x:c>
      <x:c r="B5" s="8" t="str">
        <x:v>Fees paid/payable in prior 12 months.</x:v>
      </x:c>
      <x:c r="C5" s="8" t="str">
        <x:v>Up to 2x fees for defined claims.</x:v>
      </x:c>
      <x:c r="D5" s="8" t="str">
        <x:v>Uncapped liability or broad carveouts.</x:v>
      </x:c>
    </x:row>
    <x:row r="6">
      <x:c r="A6" s="8" t="str">
        <x:v>Indemnity</x:v>
      </x:c>
      <x:c r="B6" s="8" t="str">
        <x:v>Third-party IP, confidentiality, data breach caused by indemnifying party.</x:v>
      </x:c>
      <x:c r="C6" s="8" t="str">
        <x:v>Mutual indemnity with procedural controls.</x:v>
      </x:c>
      <x:c r="D6" s="8" t="str">
        <x:v>First-party losses or open-ended business claims.</x:v>
      </x:c>
    </x:row>
    <x:row r="7">
      <x:c r="A7" s="8" t="str">
        <x:v>Payment</x:v>
      </x:c>
      <x:c r="B7" s="8" t="str">
        <x:v>Net 30 from valid invoice.</x:v>
      </x:c>
      <x:c r="C7" s="8" t="str">
        <x:v>Net 45 with finance approval.</x:v>
      </x:c>
      <x:c r="D7" s="8" t="str">
        <x:v>Net 60+, broad setoff, or subjective acceptance.</x:v>
      </x:c>
    </x:row>
    <x:row r="8">
      <x:c r="A8" s="8" t="str">
        <x:v>Termination</x:v>
      </x:c>
      <x:c r="B8" s="8" t="str">
        <x:v>Mutual material breach after cure.</x:v>
      </x:c>
      <x:c r="C8" s="8" t="str">
        <x:v>Convenience if economics are protected.</x:v>
      </x:c>
      <x:c r="D8" s="8" t="str">
        <x:v>No termination right or long cure for critical breach.</x:v>
      </x:c>
    </x:row>
    <x:row r="9">
      <x:c r="A9" s="8" t="str">
        <x:v>Auto-Renewal</x:v>
      </x:c>
      <x:c r="B9" s="8" t="str">
        <x:v>Notice-based renewal with tracked opt-out date.</x:v>
      </x:c>
      <x:c r="C9" s="8" t="str">
        <x:v>Renewal allowed with at least 60 days notice.</x:v>
      </x:c>
      <x:c r="D9" s="8" t="str">
        <x:v>Notice window under 30 days or price increase without notice.</x:v>
      </x:c>
    </x:row>
    <x:row r="10">
      <x:c r="A10" s="8" t="str">
        <x:v>IP Ownership</x:v>
      </x:c>
      <x:c r="B10" s="8" t="str">
        <x:v>Each party keeps pre-existing IP; licenses match deal model.</x:v>
      </x:c>
      <x:c r="C10" s="8" t="str">
        <x:v>Limited assignment for paid deliverables.</x:v>
      </x:c>
      <x:c r="D10" s="8" t="str">
        <x:v>Broad assignment of tools, know-how, or platform IP.</x:v>
      </x:c>
    </x:row>
    <x:row r="11">
      <x:c r="A11" s="8" t="str">
        <x:v>Subcontracting / Assignment</x:v>
      </x:c>
      <x:c r="B11" s="8" t="str">
        <x:v>Subcontracting requires 30 days prior written notice.</x:v>
      </x:c>
      <x:c r="C11" s="8" t="str">
        <x:v>Prior written notice for critical trades only.</x:v>
      </x:c>
      <x:c r="D11" s="8" t="str">
        <x:v>No subcontracting allowed without consent or contract falls under Dubai Law No. 5 of 2026 (requires explicit, upstream entity approvals via the Etimad online approvals system).</x:v>
      </x:c>
    </x:row>
    <x:row r="12">
      <x:c r="A12" s="8" t="str">
        <x:v>Data Protection</x:v>
      </x:c>
      <x:c r="B12" s="8" t="str">
        <x:v>DPA matches data map and operating capability.</x:v>
      </x:c>
      <x:c r="C12" s="8" t="str">
        <x:v>Alternative clauses reviewed by privacy/security.</x:v>
      </x:c>
      <x:c r="D12" s="8" t="str">
        <x:v>Unsupported transfer terms or breach notice shorter than feasible.</x:v>
      </x:c>
    </x:row>
    <x:row r="13">
      <x:c r="A13" s="8" t="str">
        <x:v>Governing Law</x:v>
      </x:c>
      <x:c r="B13" s="8" t="str">
        <x:v>Company standard venue and law.</x:v>
      </x:c>
      <x:c r="C13" s="8" t="str">
        <x:v>Commercially neutral jurisdiction.</x:v>
      </x:c>
      <x:c r="D13" s="8" t="str">
        <x:v>Unfamiliar law, hostile venue, or mandatory arbitration issues.</x:v>
      </x:c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bdcb71037f45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8.75" hidden="0" customWidth="1"/>
    <x:col min="3" max="3" width="18.75" hidden="0" customWidth="1"/>
    <x:col min="4" max="4" width="30.6299991607666" hidden="0" customWidth="1"/>
    <x:col min="5" max="5" width="30.6299991607666" hidden="0" customWidth="1"/>
    <x:col min="6" max="6" width="30.6299991607666" hidden="0" customWidth="1"/>
  </x:cols>
  <x:sheetData>
    <x:row r="1" ht="25.5" customHeight="1">
      <x:c r="A1" s="2" t="str">
        <x:v>Contract Management Procedure</x:v>
      </x:c>
    </x:row>
    <x:row r="2">
      <x:c r="A2" s="10" t="str">
        <x:v>Workflow stages, owners, inputs, outputs, and controls.</x:v>
      </x:c>
    </x:row>
    <x:row r="4">
      <x:c r="A4" s="6" t="str">
        <x:v>Step</x:v>
      </x:c>
      <x:c r="B4" s="6" t="str">
        <x:v>Stage</x:v>
      </x:c>
      <x:c r="C4" s="6" t="str">
        <x:v>Owner</x:v>
      </x:c>
      <x:c r="D4" s="6" t="str">
        <x:v>Required Inputs</x:v>
      </x:c>
      <x:c r="E4" s="6" t="str">
        <x:v>Output / Evidence</x:v>
      </x:c>
      <x:c r="F4" s="6" t="str">
        <x:v>Control Point</x:v>
      </x:c>
    </x:row>
    <x:row r="5">
      <x:c r="A5" s="8" t="n">
        <x:v>1</x:v>
      </x:c>
      <x:c r="B5" s="8" t="str">
        <x:v>Intake</x:v>
      </x:c>
      <x:c r="C5" s="8" t="str">
        <x:v>Business owner</x:v>
      </x:c>
      <x:c r="D5" s="8" t="str">
        <x:v>Request form, counterparty, value, timing, data profile</x:v>
      </x:c>
      <x:c r="E5" s="8" t="str">
        <x:v>Complete intake record</x:v>
      </x:c>
      <x:c r="F5" s="8" t="str">
        <x:v>Mandatory fields completed before review</x:v>
      </x:c>
    </x:row>
    <x:row r="6">
      <x:c r="A6" s="8" t="n">
        <x:v>2</x:v>
      </x:c>
      <x:c r="B6" s="8" t="str">
        <x:v>Risk triage</x:v>
      </x:c>
      <x:c r="C6" s="8" t="str">
        <x:v>Contract manager</x:v>
      </x:c>
      <x:c r="D6" s="8" t="str">
        <x:v>Contract type, value, data, template, criticality</x:v>
      </x:c>
      <x:c r="E6" s="8" t="str">
        <x:v>Risk tier and review lane</x:v>
      </x:c>
      <x:c r="F6" s="8" t="str">
        <x:v>Highest individual risk factor drives routing</x:v>
      </x:c>
    </x:row>
    <x:row r="7">
      <x:c r="A7" s="8" t="n">
        <x:v>3</x:v>
      </x:c>
      <x:c r="B7" s="8" t="str">
        <x:v>Draft / review</x:v>
      </x:c>
      <x:c r="C7" s="8" t="str">
        <x:v>Legal or contract manager</x:v>
      </x:c>
      <x:c r="D7" s="8" t="str">
        <x:v>Template, redline, schedules, approvals required</x:v>
      </x:c>
      <x:c r="E7" s="8" t="str">
        <x:v>Negotiation draft</x:v>
      </x:c>
      <x:c r="F7" s="8" t="str">
        <x:v>Non-standard terms logged</x:v>
      </x:c>
    </x:row>
    <x:row r="8">
      <x:c r="A8" s="8" t="n">
        <x:v>4</x:v>
      </x:c>
      <x:c r="B8" s="8" t="str">
        <x:v>Negotiate</x:v>
      </x:c>
      <x:c r="C8" s="8" t="str">
        <x:v>Business owner and legal</x:v>
      </x:c>
      <x:c r="D8" s="8" t="str">
        <x:v>Clause positions, fallback, open issues</x:v>
      </x:c>
      <x:c r="E8" s="8" t="str">
        <x:v>Agreed contract package</x:v>
      </x:c>
      <x:c r="F8" s="8" t="str">
        <x:v>Escalations approved before concession</x:v>
      </x:c>
    </x:row>
    <x:row r="9">
      <x:c r="A9" s="8" t="n">
        <x:v>5</x:v>
      </x:c>
      <x:c r="B9" s="8" t="str">
        <x:v>Approve</x:v>
      </x:c>
      <x:c r="C9" s="8" t="str">
        <x:v>Finance / DoA approver</x:v>
      </x:c>
      <x:c r="D9" s="8" t="str">
        <x:v>Final value, risk rating, deviations, change impact</x:v>
      </x:c>
      <x:c r="E9" s="8" t="str">
        <x:v>Approval trail</x:v>
      </x:c>
      <x:c r="F9" s="8" t="str">
        <x:v>DoA threshold and exception review completed</x:v>
      </x:c>
    </x:row>
    <x:row r="10">
      <x:c r="A10" s="8" t="n">
        <x:v>6</x:v>
      </x:c>
      <x:c r="B10" s="8" t="str">
        <x:v>Sign</x:v>
      </x:c>
      <x:c r="C10" s="8" t="str">
        <x:v>Authorized signatory</x:v>
      </x:c>
      <x:c r="D10" s="8" t="str">
        <x:v>Final clean copy, exhibits, signature block</x:v>
      </x:c>
      <x:c r="E10" s="8" t="str">
        <x:v>Executed agreement</x:v>
      </x:c>
      <x:c r="F10" s="8" t="str">
        <x:v>Authority and entity details verified</x:v>
      </x:c>
    </x:row>
    <x:row r="11">
      <x:c r="A11" s="8" t="n">
        <x:v>7</x:v>
      </x:c>
      <x:c r="B11" s="8" t="str">
        <x:v>Activate</x:v>
      </x:c>
      <x:c r="C11" s="8" t="str">
        <x:v>Contract manager</x:v>
      </x:c>
      <x:c r="D11" s="8" t="str">
        <x:v>Signed copy, owner, dates, obligations</x:v>
      </x:c>
      <x:c r="E11" s="8" t="str">
        <x:v>Register and obligation tracker updated</x:v>
      </x:c>
      <x:c r="F11" s="8" t="str">
        <x:v>Executed copy and key data required</x:v>
      </x:c>
    </x:row>
    <x:row r="12">
      <x:c r="A12" s="8" t="n">
        <x:v>8</x:v>
      </x:c>
      <x:c r="B12" s="8" t="str">
        <x:v>Monitor</x:v>
      </x:c>
      <x:c r="C12" s="8" t="str">
        <x:v>Contract manager</x:v>
      </x:c>
      <x:c r="D12" s="8" t="str">
        <x:v>Renewals, obligations, variations, KPIs</x:v>
      </x:c>
      <x:c r="E12" s="8" t="str">
        <x:v>Monthly governance pack</x:v>
      </x:c>
      <x:c r="F12" s="8" t="str">
        <x:v>Overdue obligations and renewal alerts escalated</x:v>
      </x:c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  <x:row r="31">
      <x:c r="A31" s="8"/>
      <x:c r="B31" s="8"/>
      <x:c r="C31" s="8"/>
      <x:c r="D31" s="8"/>
      <x:c r="E31" s="8"/>
      <x:c r="F31" s="8"/>
    </x:row>
    <x:row r="32">
      <x:c r="A32" s="8"/>
      <x:c r="B32" s="8"/>
      <x:c r="C32" s="8"/>
      <x:c r="D32" s="8"/>
      <x:c r="E32" s="8"/>
      <x:c r="F32" s="8"/>
    </x:row>
    <x:row r="33">
      <x:c r="A33" s="8"/>
      <x:c r="B33" s="8"/>
      <x:c r="C33" s="8"/>
      <x:c r="D33" s="8"/>
      <x:c r="E33" s="8"/>
      <x:c r="F33" s="8"/>
    </x:row>
    <x:row r="34">
      <x:c r="A34" s="8"/>
      <x:c r="B34" s="8"/>
      <x:c r="C34" s="8"/>
      <x:c r="D34" s="8"/>
      <x:c r="E34" s="8"/>
      <x:c r="F34" s="8"/>
    </x:row>
    <x:row r="35">
      <x:c r="A35" s="8"/>
      <x:c r="B35" s="8"/>
      <x:c r="C35" s="8"/>
      <x:c r="D35" s="8"/>
      <x:c r="E35" s="8"/>
      <x:c r="F35" s="8"/>
    </x:row>
    <x:row r="36">
      <x:c r="A36" s="8"/>
      <x:c r="B36" s="8"/>
      <x:c r="C36" s="8"/>
      <x:c r="D36" s="8"/>
      <x:c r="E36" s="8"/>
      <x:c r="F36" s="8"/>
    </x:row>
    <x:row r="37">
      <x:c r="A37" s="8"/>
      <x:c r="B37" s="8"/>
      <x:c r="C37" s="8"/>
      <x:c r="D37" s="8"/>
      <x:c r="E37" s="8"/>
      <x:c r="F37" s="8"/>
    </x:row>
    <x:row r="38">
      <x:c r="A38" s="8"/>
      <x:c r="B38" s="8"/>
      <x:c r="C38" s="8"/>
      <x:c r="D38" s="8"/>
      <x:c r="E38" s="8"/>
      <x:c r="F38" s="8"/>
    </x:row>
    <x:row r="39">
      <x:c r="A39" s="8"/>
      <x:c r="B39" s="8"/>
      <x:c r="C39" s="8"/>
      <x:c r="D39" s="8"/>
      <x:c r="E39" s="8"/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>
      <x:c r="A42" s="8"/>
      <x:c r="B42" s="8"/>
      <x:c r="C42" s="8"/>
      <x:c r="D42" s="8"/>
      <x:c r="E42" s="8"/>
      <x:c r="F42" s="8"/>
    </x:row>
    <x:row r="43">
      <x:c r="A43" s="8"/>
      <x:c r="B43" s="8"/>
      <x:c r="C43" s="8"/>
      <x:c r="D43" s="8"/>
      <x:c r="E43" s="8"/>
      <x:c r="F43" s="8"/>
    </x:row>
    <x:row r="44">
      <x:c r="A44" s="8"/>
      <x:c r="B44" s="8"/>
      <x:c r="C44" s="8"/>
      <x:c r="D44" s="8"/>
      <x:c r="E44" s="8"/>
      <x:c r="F44" s="8"/>
    </x:row>
    <x:row r="45">
      <x:c r="A45" s="8"/>
      <x:c r="B45" s="8"/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  <x:row r="61">
      <x:c r="A61" s="8"/>
      <x:c r="B61" s="8"/>
      <x:c r="C61" s="8"/>
      <x:c r="D61" s="8"/>
      <x:c r="E61" s="8"/>
      <x:c r="F61" s="8"/>
    </x:row>
    <x:row r="62">
      <x:c r="A62" s="8"/>
      <x:c r="B62" s="8"/>
      <x:c r="C62" s="8"/>
      <x:c r="D62" s="8"/>
      <x:c r="E62" s="8"/>
      <x:c r="F62" s="8"/>
    </x:row>
    <x:row r="63">
      <x:c r="A63" s="8"/>
      <x:c r="B63" s="8"/>
      <x:c r="C63" s="8"/>
      <x:c r="D63" s="8"/>
      <x:c r="E63" s="8"/>
      <x:c r="F63" s="8"/>
    </x:row>
    <x:row r="64">
      <x:c r="A64" s="8"/>
      <x:c r="B64" s="8"/>
      <x:c r="C64" s="8"/>
      <x:c r="D64" s="8"/>
      <x:c r="E64" s="8"/>
      <x:c r="F64" s="8"/>
    </x:row>
    <x:row r="65">
      <x:c r="A65" s="8"/>
      <x:c r="B65" s="8"/>
      <x:c r="C65" s="8"/>
      <x:c r="D65" s="8"/>
      <x:c r="E65" s="8"/>
      <x:c r="F65" s="8"/>
    </x:row>
    <x:row r="66">
      <x:c r="A66" s="8"/>
      <x:c r="B66" s="8"/>
      <x:c r="C66" s="8"/>
      <x:c r="D66" s="8"/>
      <x:c r="E66" s="8"/>
      <x:c r="F66" s="8"/>
    </x:row>
    <x:row r="67">
      <x:c r="A67" s="8"/>
      <x:c r="B67" s="8"/>
      <x:c r="C67" s="8"/>
      <x:c r="D67" s="8"/>
      <x:c r="E67" s="8"/>
      <x:c r="F67" s="8"/>
    </x:row>
    <x:row r="68">
      <x:c r="A68" s="8"/>
      <x:c r="B68" s="8"/>
      <x:c r="C68" s="8"/>
      <x:c r="D68" s="8"/>
      <x:c r="E68" s="8"/>
      <x:c r="F68" s="8"/>
    </x:row>
    <x:row r="69">
      <x:c r="A69" s="8"/>
      <x:c r="B69" s="8"/>
      <x:c r="C69" s="8"/>
      <x:c r="D69" s="8"/>
      <x:c r="E69" s="8"/>
      <x:c r="F69" s="8"/>
    </x:row>
    <x:row r="70">
      <x:c r="A70" s="8"/>
      <x:c r="B70" s="8"/>
      <x:c r="C70" s="8"/>
      <x:c r="D70" s="8"/>
      <x:c r="E70" s="8"/>
      <x:c r="F70" s="8"/>
    </x:row>
    <x:row r="71">
      <x:c r="A71" s="8"/>
      <x:c r="B71" s="8"/>
      <x:c r="C71" s="8"/>
      <x:c r="D71" s="8"/>
      <x:c r="E71" s="8"/>
      <x:c r="F71" s="8"/>
    </x:row>
    <x:row r="72">
      <x:c r="A72" s="8"/>
      <x:c r="B72" s="8"/>
      <x:c r="C72" s="8"/>
      <x:c r="D72" s="8"/>
      <x:c r="E72" s="8"/>
      <x:c r="F72" s="8"/>
    </x:row>
    <x:row r="73">
      <x:c r="A73" s="8"/>
      <x:c r="B73" s="8"/>
      <x:c r="C73" s="8"/>
      <x:c r="D73" s="8"/>
      <x:c r="E73" s="8"/>
      <x:c r="F73" s="8"/>
    </x:row>
    <x:row r="74">
      <x:c r="A74" s="8"/>
      <x:c r="B74" s="8"/>
      <x:c r="C74" s="8"/>
      <x:c r="D74" s="8"/>
      <x:c r="E74" s="8"/>
      <x:c r="F74" s="8"/>
    </x:row>
    <x:row r="75">
      <x:c r="A75" s="8"/>
      <x:c r="B75" s="8"/>
      <x:c r="C75" s="8"/>
      <x:c r="D75" s="8"/>
      <x:c r="E75" s="8"/>
      <x:c r="F75" s="8"/>
    </x:row>
    <x:row r="76">
      <x:c r="A76" s="8"/>
      <x:c r="B76" s="8"/>
      <x:c r="C76" s="8"/>
      <x:c r="D76" s="8"/>
      <x:c r="E76" s="8"/>
      <x:c r="F76" s="8"/>
    </x:row>
    <x:row r="77">
      <x:c r="A77" s="8"/>
      <x:c r="B77" s="8"/>
      <x:c r="C77" s="8"/>
      <x:c r="D77" s="8"/>
      <x:c r="E77" s="8"/>
      <x:c r="F77" s="8"/>
    </x:row>
    <x:row r="78">
      <x:c r="A78" s="8"/>
      <x:c r="B78" s="8"/>
      <x:c r="C78" s="8"/>
      <x:c r="D78" s="8"/>
      <x:c r="E78" s="8"/>
      <x:c r="F78" s="8"/>
    </x:row>
    <x:row r="79">
      <x:c r="A79" s="8"/>
      <x:c r="B79" s="8"/>
      <x:c r="C79" s="8"/>
      <x:c r="D79" s="8"/>
      <x:c r="E79" s="8"/>
      <x:c r="F79" s="8"/>
    </x:row>
    <x:row r="80">
      <x:c r="A80" s="8"/>
      <x:c r="B80" s="8"/>
      <x:c r="C80" s="8"/>
      <x:c r="D80" s="8"/>
      <x:c r="E80" s="8"/>
      <x:c r="F80" s="8"/>
    </x:row>
    <x:row r="81">
      <x:c r="A81" s="8"/>
      <x:c r="B81" s="8"/>
      <x:c r="C81" s="8"/>
      <x:c r="D81" s="8"/>
      <x:c r="E81" s="8"/>
      <x:c r="F81" s="8"/>
    </x:row>
    <x:row r="82">
      <x:c r="A82" s="8"/>
      <x:c r="B82" s="8"/>
      <x:c r="C82" s="8"/>
      <x:c r="D82" s="8"/>
      <x:c r="E82" s="8"/>
      <x:c r="F82" s="8"/>
    </x:row>
    <x:row r="83">
      <x:c r="A83" s="8"/>
      <x:c r="B83" s="8"/>
      <x:c r="C83" s="8"/>
      <x:c r="D83" s="8"/>
      <x:c r="E83" s="8"/>
      <x:c r="F83" s="8"/>
    </x:row>
    <x:row r="84">
      <x:c r="A84" s="8"/>
      <x:c r="B84" s="8"/>
      <x:c r="C84" s="8"/>
      <x:c r="D84" s="8"/>
      <x:c r="E84" s="8"/>
      <x:c r="F84" s="8"/>
    </x:row>
    <x:row r="85">
      <x:c r="A85" s="8"/>
      <x:c r="B85" s="8"/>
      <x:c r="C85" s="8"/>
      <x:c r="D85" s="8"/>
      <x:c r="E85" s="8"/>
      <x:c r="F85" s="8"/>
    </x:row>
    <x:row r="86">
      <x:c r="A86" s="8"/>
      <x:c r="B86" s="8"/>
      <x:c r="C86" s="8"/>
      <x:c r="D86" s="8"/>
      <x:c r="E86" s="8"/>
      <x:c r="F86" s="8"/>
    </x:row>
    <x:row r="87">
      <x:c r="A87" s="8"/>
      <x:c r="B87" s="8"/>
      <x:c r="C87" s="8"/>
      <x:c r="D87" s="8"/>
      <x:c r="E87" s="8"/>
      <x:c r="F87" s="8"/>
    </x:row>
    <x:row r="88">
      <x:c r="A88" s="8"/>
      <x:c r="B88" s="8"/>
      <x:c r="C88" s="8"/>
      <x:c r="D88" s="8"/>
      <x:c r="E88" s="8"/>
      <x:c r="F88" s="8"/>
    </x:row>
    <x:row r="89">
      <x:c r="A89" s="8"/>
      <x:c r="B89" s="8"/>
      <x:c r="C89" s="8"/>
      <x:c r="D89" s="8"/>
      <x:c r="E89" s="8"/>
      <x:c r="F89" s="8"/>
    </x:row>
    <x:row r="90">
      <x:c r="A90" s="8"/>
      <x:c r="B90" s="8"/>
      <x:c r="C90" s="8"/>
      <x:c r="D90" s="8"/>
      <x:c r="E90" s="8"/>
      <x:c r="F90" s="8"/>
    </x:row>
    <x:row r="91">
      <x:c r="A91" s="8"/>
      <x:c r="B91" s="8"/>
      <x:c r="C91" s="8"/>
      <x:c r="D91" s="8"/>
      <x:c r="E91" s="8"/>
      <x:c r="F91" s="8"/>
    </x:row>
    <x:row r="92">
      <x:c r="A92" s="8"/>
      <x:c r="B92" s="8"/>
      <x:c r="C92" s="8"/>
      <x:c r="D92" s="8"/>
      <x:c r="E92" s="8"/>
      <x:c r="F92" s="8"/>
    </x:row>
    <x:row r="93">
      <x:c r="A93" s="8"/>
      <x:c r="B93" s="8"/>
      <x:c r="C93" s="8"/>
      <x:c r="D93" s="8"/>
      <x:c r="E93" s="8"/>
      <x:c r="F93" s="8"/>
    </x:row>
    <x:row r="94">
      <x:c r="A94" s="8"/>
      <x:c r="B94" s="8"/>
      <x:c r="C94" s="8"/>
      <x:c r="D94" s="8"/>
      <x:c r="E94" s="8"/>
      <x:c r="F94" s="8"/>
    </x:row>
    <x:row r="95">
      <x:c r="A95" s="8"/>
      <x:c r="B95" s="8"/>
      <x:c r="C95" s="8"/>
      <x:c r="D95" s="8"/>
      <x:c r="E95" s="8"/>
      <x:c r="F95" s="8"/>
    </x:row>
    <x:row r="96">
      <x:c r="A96" s="8"/>
      <x:c r="B96" s="8"/>
      <x:c r="C96" s="8"/>
      <x:c r="D96" s="8"/>
      <x:c r="E96" s="8"/>
      <x:c r="F96" s="8"/>
    </x:row>
    <x:row r="97">
      <x:c r="A97" s="8"/>
      <x:c r="B97" s="8"/>
      <x:c r="C97" s="8"/>
      <x:c r="D97" s="8"/>
      <x:c r="E97" s="8"/>
      <x:c r="F97" s="8"/>
    </x:row>
    <x:row r="98">
      <x:c r="A98" s="8"/>
      <x:c r="B98" s="8"/>
      <x:c r="C98" s="8"/>
      <x:c r="D98" s="8"/>
      <x:c r="E98" s="8"/>
      <x:c r="F98" s="8"/>
    </x:row>
    <x:row r="99">
      <x:c r="A99" s="8"/>
      <x:c r="B99" s="8"/>
      <x:c r="C99" s="8"/>
      <x:c r="D99" s="8"/>
      <x:c r="E99" s="8"/>
      <x:c r="F99" s="8"/>
    </x:row>
    <x:row r="100">
      <x:c r="A100" s="8"/>
      <x:c r="B100" s="8"/>
      <x:c r="C100" s="8"/>
      <x:c r="D100" s="8"/>
      <x:c r="E100" s="8"/>
      <x:c r="F100" s="8"/>
    </x:row>
    <x:row r="101">
      <x:c r="A101" s="8"/>
      <x:c r="B101" s="8"/>
      <x:c r="C101" s="8"/>
      <x:c r="D101" s="8"/>
      <x:c r="E101" s="8"/>
      <x:c r="F101" s="8"/>
    </x:row>
    <x:row r="102">
      <x:c r="A102" s="8"/>
      <x:c r="B102" s="8"/>
      <x:c r="C102" s="8"/>
      <x:c r="D102" s="8"/>
      <x:c r="E102" s="8"/>
      <x:c r="F102" s="8"/>
    </x:row>
    <x:row r="103">
      <x:c r="A103" s="8"/>
      <x:c r="B103" s="8"/>
      <x:c r="C103" s="8"/>
      <x:c r="D103" s="8"/>
      <x:c r="E103" s="8"/>
      <x:c r="F103" s="8"/>
    </x:row>
    <x:row r="104">
      <x:c r="A104" s="8"/>
      <x:c r="B104" s="8"/>
      <x:c r="C104" s="8"/>
      <x:c r="D104" s="8"/>
      <x:c r="E104" s="8"/>
      <x:c r="F104" s="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46e4ade7ea34a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6.2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</x:cols>
  <x:sheetData>
    <x:row r="1" ht="25.5" customHeight="1">
      <x:c r="A1" s="2" t="str">
        <x:v>Contract Risk Matrix</x:v>
      </x:c>
    </x:row>
    <x:row r="2">
      <x:c r="A2" s="10" t="str">
        <x:v>Score risk factors from 1 low to 3 high; route by highest factor and total score.</x:v>
      </x:c>
    </x:row>
    <x:row r="4">
      <x:c r="A4" s="6" t="str">
        <x:v>Contract ID</x:v>
      </x:c>
      <x:c r="B4" s="6" t="str">
        <x:v>Counterparty</x:v>
      </x:c>
      <x:c r="C4" s="6" t="str">
        <x:v>Value</x:v>
      </x:c>
      <x:c r="D4" s="6" t="str">
        <x:v>Data</x:v>
      </x:c>
      <x:c r="E4" s="6" t="str">
        <x:v>Liability</x:v>
      </x:c>
      <x:c r="F4" s="6" t="str">
        <x:v>Criticality</x:v>
      </x:c>
      <x:c r="G4" s="6" t="str">
        <x:v>Suggested Risk</x:v>
      </x:c>
    </x:row>
    <x:row r="5">
      <x:c r="A5" s="8" t="str">
        <x:v>CT-001</x:v>
      </x:c>
      <x:c r="B5" s="8" t="str">
        <x:v>Northwind Systems LLC</x:v>
      </x:c>
      <x:c r="C5" s="8" t="n">
        <x:v>2</x:v>
      </x:c>
      <x:c r="D5" s="8" t="n">
        <x:v>2</x:v>
      </x:c>
      <x:c r="E5" s="8" t="n">
        <x:v>2</x:v>
      </x:c>
      <x:c r="F5" s="8" t="n">
        <x:v>2</x:v>
      </x:c>
      <x:c r="G5" s="8" t="str">
        <x:f>IF(A5="","",IF(MAX(C5:F5)&gt;=3,"High",IF(SUM(C5:F5)&gt;=8,"Medium","Low")))</x:f>
        <x:v>Medium</x:v>
      </x:c>
    </x:row>
    <x:row r="6">
      <x:c r="A6" s="8" t="str">
        <x:v>CT-002</x:v>
      </x:c>
      <x:c r="B6" s="8" t="str">
        <x:v>Blue Harbor Data</x:v>
      </x:c>
      <x:c r="C6" s="8" t="n">
        <x:v>1</x:v>
      </x:c>
      <x:c r="D6" s="8" t="n">
        <x:v>3</x:v>
      </x:c>
      <x:c r="E6" s="8" t="n">
        <x:v>2</x:v>
      </x:c>
      <x:c r="F6" s="8" t="n">
        <x:v>2</x:v>
      </x:c>
      <x:c r="G6" s="8" t="str">
        <x:f>IF(A6="","",IF(MAX(C6:F6)&gt;=3,"High",IF(SUM(C6:F6)&gt;=8,"Medium","Low")))</x:f>
        <x:v>High</x:v>
      </x:c>
    </x:row>
    <x:row r="7">
      <x:c r="A7" s="8" t="str">
        <x:v>CT-003</x:v>
      </x:c>
      <x:c r="B7" s="8" t="str">
        <x:v>Greenline Supplies</x:v>
      </x:c>
      <x:c r="C7" s="8" t="n">
        <x:v>1</x:v>
      </x:c>
      <x:c r="D7" s="8" t="n">
        <x:v>1</x:v>
      </x:c>
      <x:c r="E7" s="8" t="n">
        <x:v>1</x:v>
      </x:c>
      <x:c r="F7" s="8" t="n">
        <x:v>1</x:v>
      </x:c>
      <x:c r="G7" s="8" t="str">
        <x:f>IF(A7="","",IF(MAX(C7:F7)&gt;=3,"High",IF(SUM(C7:F7)&gt;=8,"Medium","Low")))</x:f>
        <x:v>Low</x:v>
      </x:c>
    </x:row>
    <x:row r="8">
      <x:c r="A8" s="8" t="str">
        <x:v>CT-004</x:v>
      </x:c>
      <x:c r="B8" s="8" t="str">
        <x:v>Acme Retail Group</x:v>
      </x:c>
      <x:c r="C8" s="8" t="n">
        <x:v>3</x:v>
      </x:c>
      <x:c r="D8" s="8" t="n">
        <x:v>3</x:v>
      </x:c>
      <x:c r="E8" s="8" t="n">
        <x:v>3</x:v>
      </x:c>
      <x:c r="F8" s="8" t="n">
        <x:v>3</x:v>
      </x:c>
      <x:c r="G8" s="8" t="str">
        <x:f>IF(A8="","",IF(MAX(C8:F8)&gt;=3,"High",IF(SUM(C8:F8)&gt;=8,"Medium","Low")))</x:f>
        <x:v>High</x:v>
      </x:c>
    </x:row>
    <x:row r="9">
      <x:c r="A9" s="8" t="str">
        <x:v>CT-005</x:v>
      </x:c>
      <x:c r="B9" s="8" t="str">
        <x:v>BrightPath Partners</x:v>
      </x:c>
      <x:c r="C9" s="8" t="n">
        <x:v>1</x:v>
      </x:c>
      <x:c r="D9" s="8" t="n">
        <x:v>1</x:v>
      </x:c>
      <x:c r="E9" s="8" t="n">
        <x:v>1</x:v>
      </x:c>
      <x:c r="F9" s="8" t="n">
        <x:v>1</x:v>
      </x:c>
      <x:c r="G9" s="8" t="str">
        <x:f>IF(A9="","",IF(MAX(C9:F9)&gt;=3,"High",IF(SUM(C9:F9)&gt;=8,"Medium","Low")))</x:f>
        <x:v>Low</x:v>
      </x:c>
    </x:row>
    <x:row r="10">
      <x:c r="A10" s="8"/>
      <x:c r="B10" s="8"/>
      <x:c r="C10" s="8"/>
      <x:c r="D10" s="8"/>
      <x:c r="E10" s="8"/>
      <x:c r="F10" s="8"/>
      <x:c r="G10" s="8" t="str">
        <x:f>IF(A10="","",IF(MAX(C10:F10)&gt;=3,"High",IF(SUM(C10:F10)&gt;=8,"Medium","Low")))</x:f>
      </x:c>
    </x:row>
    <x:row r="11">
      <x:c r="A11" s="8"/>
      <x:c r="B11" s="8"/>
      <x:c r="C11" s="8"/>
      <x:c r="D11" s="8"/>
      <x:c r="E11" s="8"/>
      <x:c r="F11" s="8"/>
      <x:c r="G11" s="8" t="str">
        <x:f>IF(A11="","",IF(MAX(C11:F11)&gt;=3,"High",IF(SUM(C11:F11)&gt;=8,"Medium","Low")))</x:f>
      </x:c>
    </x:row>
    <x:row r="12">
      <x:c r="A12" s="8"/>
      <x:c r="B12" s="8"/>
      <x:c r="C12" s="8"/>
      <x:c r="D12" s="8"/>
      <x:c r="E12" s="8"/>
      <x:c r="F12" s="8"/>
      <x:c r="G12" s="8" t="str">
        <x:f>IF(A12="","",IF(MAX(C12:F12)&gt;=3,"High",IF(SUM(C12:F12)&gt;=8,"Medium","Low")))</x:f>
      </x:c>
    </x:row>
    <x:row r="13">
      <x:c r="A13" s="8"/>
      <x:c r="B13" s="8"/>
      <x:c r="C13" s="8"/>
      <x:c r="D13" s="8"/>
      <x:c r="E13" s="8"/>
      <x:c r="F13" s="8"/>
      <x:c r="G13" s="8" t="str">
        <x:f>IF(A13="","",IF(MAX(C13:F13)&gt;=3,"High",IF(SUM(C13:F13)&gt;=8,"Medium","Low")))</x:f>
      </x:c>
    </x:row>
    <x:row r="14">
      <x:c r="A14" s="8"/>
      <x:c r="B14" s="8"/>
      <x:c r="C14" s="8"/>
      <x:c r="D14" s="8"/>
      <x:c r="E14" s="8"/>
      <x:c r="F14" s="8"/>
      <x:c r="G14" s="8" t="str">
        <x:f>IF(A14="","",IF(MAX(C14:F14)&gt;=3,"High",IF(SUM(C14:F14)&gt;=8,"Medium","Low")))</x:f>
      </x:c>
    </x:row>
    <x:row r="15">
      <x:c r="A15" s="8"/>
      <x:c r="B15" s="8"/>
      <x:c r="C15" s="8"/>
      <x:c r="D15" s="8"/>
      <x:c r="E15" s="8"/>
      <x:c r="F15" s="8"/>
      <x:c r="G15" s="8" t="str">
        <x:f>IF(A15="","",IF(MAX(C15:F15)&gt;=3,"High",IF(SUM(C15:F15)&gt;=8,"Medium","Low")))</x:f>
      </x:c>
    </x:row>
    <x:row r="16">
      <x:c r="A16" s="8"/>
      <x:c r="B16" s="8"/>
      <x:c r="C16" s="8"/>
      <x:c r="D16" s="8"/>
      <x:c r="E16" s="8"/>
      <x:c r="F16" s="8"/>
      <x:c r="G16" s="8" t="str">
        <x:f>IF(A16="","",IF(MAX(C16:F16)&gt;=3,"High",IF(SUM(C16:F16)&gt;=8,"Medium","Low")))</x:f>
      </x:c>
    </x:row>
    <x:row r="17">
      <x:c r="A17" s="8"/>
      <x:c r="B17" s="8"/>
      <x:c r="C17" s="8"/>
      <x:c r="D17" s="8"/>
      <x:c r="E17" s="8"/>
      <x:c r="F17" s="8"/>
      <x:c r="G17" s="8" t="str">
        <x:f>IF(A17="","",IF(MAX(C17:F17)&gt;=3,"High",IF(SUM(C17:F17)&gt;=8,"Medium","Low")))</x:f>
      </x:c>
    </x:row>
    <x:row r="18">
      <x:c r="A18" s="8"/>
      <x:c r="B18" s="8"/>
      <x:c r="C18" s="8"/>
      <x:c r="D18" s="8"/>
      <x:c r="E18" s="8"/>
      <x:c r="F18" s="8"/>
      <x:c r="G18" s="8" t="str">
        <x:f>IF(A18="","",IF(MAX(C18:F18)&gt;=3,"High",IF(SUM(C18:F18)&gt;=8,"Medium","Low")))</x:f>
      </x:c>
    </x:row>
    <x:row r="19">
      <x:c r="A19" s="8"/>
      <x:c r="B19" s="8"/>
      <x:c r="C19" s="8"/>
      <x:c r="D19" s="8"/>
      <x:c r="E19" s="8"/>
      <x:c r="F19" s="8"/>
      <x:c r="G19" s="8" t="str">
        <x:f>IF(A19="","",IF(MAX(C19:F19)&gt;=3,"High",IF(SUM(C19:F19)&gt;=8,"Medium","Low")))</x:f>
      </x:c>
    </x:row>
    <x:row r="20">
      <x:c r="A20" s="8"/>
      <x:c r="B20" s="8"/>
      <x:c r="C20" s="8"/>
      <x:c r="D20" s="8"/>
      <x:c r="E20" s="8"/>
      <x:c r="F20" s="8"/>
      <x:c r="G20" s="8" t="str">
        <x:f>IF(A20="","",IF(MAX(C20:F20)&gt;=3,"High",IF(SUM(C20:F20)&gt;=8,"Medium","Low")))</x:f>
      </x:c>
    </x:row>
    <x:row r="21">
      <x:c r="A21" s="8"/>
      <x:c r="B21" s="8"/>
      <x:c r="C21" s="8"/>
      <x:c r="D21" s="8"/>
      <x:c r="E21" s="8"/>
      <x:c r="F21" s="8"/>
      <x:c r="G21" s="8" t="str">
        <x:f>IF(A21="","",IF(MAX(C21:F21)&gt;=3,"High",IF(SUM(C21:F21)&gt;=8,"Medium","Low")))</x:f>
      </x:c>
    </x:row>
    <x:row r="22">
      <x:c r="A22" s="8"/>
      <x:c r="B22" s="8"/>
      <x:c r="C22" s="8"/>
      <x:c r="D22" s="8"/>
      <x:c r="E22" s="8"/>
      <x:c r="F22" s="8"/>
      <x:c r="G22" s="8" t="str">
        <x:f>IF(A22="","",IF(MAX(C22:F22)&gt;=3,"High",IF(SUM(C22:F22)&gt;=8,"Medium","Low")))</x:f>
      </x:c>
    </x:row>
    <x:row r="23">
      <x:c r="A23" s="8"/>
      <x:c r="B23" s="8"/>
      <x:c r="C23" s="8"/>
      <x:c r="D23" s="8"/>
      <x:c r="E23" s="8"/>
      <x:c r="F23" s="8"/>
      <x:c r="G23" s="8" t="str">
        <x:f>IF(A23="","",IF(MAX(C23:F23)&gt;=3,"High",IF(SUM(C23:F23)&gt;=8,"Medium","Low")))</x:f>
      </x:c>
    </x:row>
    <x:row r="24">
      <x:c r="A24" s="8"/>
      <x:c r="B24" s="8"/>
      <x:c r="C24" s="8"/>
      <x:c r="D24" s="8"/>
      <x:c r="E24" s="8"/>
      <x:c r="F24" s="8"/>
      <x:c r="G24" s="8" t="str">
        <x:f>IF(A24="","",IF(MAX(C24:F24)&gt;=3,"High",IF(SUM(C24:F24)&gt;=8,"Medium","Low")))</x:f>
      </x:c>
    </x:row>
    <x:row r="25">
      <x:c r="A25" s="8"/>
      <x:c r="B25" s="8"/>
      <x:c r="C25" s="8"/>
      <x:c r="D25" s="8"/>
      <x:c r="E25" s="8"/>
      <x:c r="F25" s="8"/>
      <x:c r="G25" s="8" t="str">
        <x:f>IF(A25="","",IF(MAX(C25:F25)&gt;=3,"High",IF(SUM(C25:F25)&gt;=8,"Medium","Low")))</x:f>
      </x:c>
    </x:row>
    <x:row r="26">
      <x:c r="A26" s="8"/>
      <x:c r="B26" s="8"/>
      <x:c r="C26" s="8"/>
      <x:c r="D26" s="8"/>
      <x:c r="E26" s="8"/>
      <x:c r="F26" s="8"/>
      <x:c r="G26" s="8" t="str">
        <x:f>IF(A26="","",IF(MAX(C26:F26)&gt;=3,"High",IF(SUM(C26:F26)&gt;=8,"Medium","Low")))</x:f>
      </x:c>
    </x:row>
    <x:row r="27">
      <x:c r="A27" s="8"/>
      <x:c r="B27" s="8"/>
      <x:c r="C27" s="8"/>
      <x:c r="D27" s="8"/>
      <x:c r="E27" s="8"/>
      <x:c r="F27" s="8"/>
      <x:c r="G27" s="8" t="str">
        <x:f>IF(A27="","",IF(MAX(C27:F27)&gt;=3,"High",IF(SUM(C27:F27)&gt;=8,"Medium","Low")))</x:f>
      </x:c>
    </x:row>
    <x:row r="28">
      <x:c r="A28" s="8"/>
      <x:c r="B28" s="8"/>
      <x:c r="C28" s="8"/>
      <x:c r="D28" s="8"/>
      <x:c r="E28" s="8"/>
      <x:c r="F28" s="8"/>
      <x:c r="G28" s="8" t="str">
        <x:f>IF(A28="","",IF(MAX(C28:F28)&gt;=3,"High",IF(SUM(C28:F28)&gt;=8,"Medium","Low")))</x:f>
      </x:c>
    </x:row>
    <x:row r="29">
      <x:c r="A29" s="8"/>
      <x:c r="B29" s="8"/>
      <x:c r="C29" s="8"/>
      <x:c r="D29" s="8"/>
      <x:c r="E29" s="8"/>
      <x:c r="F29" s="8"/>
      <x:c r="G29" s="8" t="str">
        <x:f>IF(A29="","",IF(MAX(C29:F29)&gt;=3,"High",IF(SUM(C29:F29)&gt;=8,"Medium","Low")))</x:f>
      </x:c>
    </x:row>
    <x:row r="30">
      <x:c r="A30" s="8"/>
      <x:c r="B30" s="8"/>
      <x:c r="C30" s="8"/>
      <x:c r="D30" s="8"/>
      <x:c r="E30" s="8"/>
      <x:c r="F30" s="8"/>
      <x:c r="G30" s="8" t="str">
        <x:f>IF(A30="","",IF(MAX(C30:F30)&gt;=3,"High",IF(SUM(C30:F30)&gt;=8,"Medium","Low")))</x:f>
      </x:c>
    </x:row>
    <x:row r="31">
      <x:c r="A31" s="8"/>
      <x:c r="B31" s="8"/>
      <x:c r="C31" s="8"/>
      <x:c r="D31" s="8"/>
      <x:c r="E31" s="8"/>
      <x:c r="F31" s="8"/>
      <x:c r="G31" s="8" t="str">
        <x:f>IF(A31="","",IF(MAX(C31:F31)&gt;=3,"High",IF(SUM(C31:F31)&gt;=8,"Medium","Low")))</x:f>
      </x:c>
    </x:row>
    <x:row r="32">
      <x:c r="A32" s="8"/>
      <x:c r="B32" s="8"/>
      <x:c r="C32" s="8"/>
      <x:c r="D32" s="8"/>
      <x:c r="E32" s="8"/>
      <x:c r="F32" s="8"/>
      <x:c r="G32" s="8" t="str">
        <x:f>IF(A32="","",IF(MAX(C32:F32)&gt;=3,"High",IF(SUM(C32:F32)&gt;=8,"Medium","Low")))</x:f>
      </x:c>
    </x:row>
    <x:row r="33">
      <x:c r="A33" s="8"/>
      <x:c r="B33" s="8"/>
      <x:c r="C33" s="8"/>
      <x:c r="D33" s="8"/>
      <x:c r="E33" s="8"/>
      <x:c r="F33" s="8"/>
      <x:c r="G33" s="8" t="str">
        <x:f>IF(A33="","",IF(MAX(C33:F33)&gt;=3,"High",IF(SUM(C33:F33)&gt;=8,"Medium","Low")))</x:f>
      </x:c>
    </x:row>
    <x:row r="34">
      <x:c r="A34" s="8"/>
      <x:c r="B34" s="8"/>
      <x:c r="C34" s="8"/>
      <x:c r="D34" s="8"/>
      <x:c r="E34" s="8"/>
      <x:c r="F34" s="8"/>
      <x:c r="G34" s="8" t="str">
        <x:f>IF(A34="","",IF(MAX(C34:F34)&gt;=3,"High",IF(SUM(C34:F34)&gt;=8,"Medium","Low")))</x:f>
      </x:c>
    </x:row>
    <x:row r="35">
      <x:c r="A35" s="8"/>
      <x:c r="B35" s="8"/>
      <x:c r="C35" s="8"/>
      <x:c r="D35" s="8"/>
      <x:c r="E35" s="8"/>
      <x:c r="F35" s="8"/>
      <x:c r="G35" s="8" t="str">
        <x:f>IF(A35="","",IF(MAX(C35:F35)&gt;=3,"High",IF(SUM(C35:F35)&gt;=8,"Medium","Low")))</x:f>
      </x:c>
    </x:row>
    <x:row r="36">
      <x:c r="A36" s="8"/>
      <x:c r="B36" s="8"/>
      <x:c r="C36" s="8"/>
      <x:c r="D36" s="8"/>
      <x:c r="E36" s="8"/>
      <x:c r="F36" s="8"/>
      <x:c r="G36" s="8" t="str">
        <x:f>IF(A36="","",IF(MAX(C36:F36)&gt;=3,"High",IF(SUM(C36:F36)&gt;=8,"Medium","Low")))</x:f>
      </x:c>
    </x:row>
    <x:row r="37">
      <x:c r="A37" s="8"/>
      <x:c r="B37" s="8"/>
      <x:c r="C37" s="8"/>
      <x:c r="D37" s="8"/>
      <x:c r="E37" s="8"/>
      <x:c r="F37" s="8"/>
      <x:c r="G37" s="8" t="str">
        <x:f>IF(A37="","",IF(MAX(C37:F37)&gt;=3,"High",IF(SUM(C37:F37)&gt;=8,"Medium","Low")))</x:f>
      </x:c>
    </x:row>
    <x:row r="38">
      <x:c r="A38" s="8"/>
      <x:c r="B38" s="8"/>
      <x:c r="C38" s="8"/>
      <x:c r="D38" s="8"/>
      <x:c r="E38" s="8"/>
      <x:c r="F38" s="8"/>
      <x:c r="G38" s="8" t="str">
        <x:f>IF(A38="","",IF(MAX(C38:F38)&gt;=3,"High",IF(SUM(C38:F38)&gt;=8,"Medium","Low")))</x:f>
      </x:c>
    </x:row>
    <x:row r="39">
      <x:c r="A39" s="8"/>
      <x:c r="B39" s="8"/>
      <x:c r="C39" s="8"/>
      <x:c r="D39" s="8"/>
      <x:c r="E39" s="8"/>
      <x:c r="F39" s="8"/>
      <x:c r="G39" s="8" t="str">
        <x:f>IF(A39="","",IF(MAX(C39:F39)&gt;=3,"High",IF(SUM(C39:F39)&gt;=8,"Medium","Low")))</x:f>
      </x:c>
    </x:row>
    <x:row r="40">
      <x:c r="A40" s="8"/>
      <x:c r="B40" s="8"/>
      <x:c r="C40" s="8"/>
      <x:c r="D40" s="8"/>
      <x:c r="E40" s="8"/>
      <x:c r="F40" s="8"/>
      <x:c r="G40" s="8" t="str">
        <x:f>IF(A40="","",IF(MAX(C40:F40)&gt;=3,"High",IF(SUM(C40:F40)&gt;=8,"Medium","Low")))</x:f>
      </x:c>
    </x:row>
    <x:row r="41">
      <x:c r="A41" s="8"/>
      <x:c r="B41" s="8"/>
      <x:c r="C41" s="8"/>
      <x:c r="D41" s="8"/>
      <x:c r="E41" s="8"/>
      <x:c r="F41" s="8"/>
      <x:c r="G41" s="8" t="str">
        <x:f>IF(A41="","",IF(MAX(C41:F41)&gt;=3,"High",IF(SUM(C41:F41)&gt;=8,"Medium","Low")))</x:f>
      </x:c>
    </x:row>
    <x:row r="42">
      <x:c r="A42" s="8"/>
      <x:c r="B42" s="8"/>
      <x:c r="C42" s="8"/>
      <x:c r="D42" s="8"/>
      <x:c r="E42" s="8"/>
      <x:c r="F42" s="8"/>
      <x:c r="G42" s="8" t="str">
        <x:f>IF(A42="","",IF(MAX(C42:F42)&gt;=3,"High",IF(SUM(C42:F42)&gt;=8,"Medium","Low")))</x:f>
      </x:c>
    </x:row>
    <x:row r="43">
      <x:c r="A43" s="8"/>
      <x:c r="B43" s="8"/>
      <x:c r="C43" s="8"/>
      <x:c r="D43" s="8"/>
      <x:c r="E43" s="8"/>
      <x:c r="F43" s="8"/>
      <x:c r="G43" s="8" t="str">
        <x:f>IF(A43="","",IF(MAX(C43:F43)&gt;=3,"High",IF(SUM(C43:F43)&gt;=8,"Medium","Low")))</x:f>
      </x:c>
    </x:row>
    <x:row r="44">
      <x:c r="A44" s="8"/>
      <x:c r="B44" s="8"/>
      <x:c r="C44" s="8"/>
      <x:c r="D44" s="8"/>
      <x:c r="E44" s="8"/>
      <x:c r="F44" s="8"/>
      <x:c r="G44" s="8" t="str">
        <x:f>IF(A44="","",IF(MAX(C44:F44)&gt;=3,"High",IF(SUM(C44:F44)&gt;=8,"Medium","Low")))</x:f>
      </x:c>
    </x:row>
    <x:row r="45">
      <x:c r="A45" s="8"/>
      <x:c r="B45" s="8"/>
      <x:c r="C45" s="8"/>
      <x:c r="D45" s="8"/>
      <x:c r="E45" s="8"/>
      <x:c r="F45" s="8"/>
      <x:c r="G45" s="8" t="str">
        <x:f>IF(A45="","",IF(MAX(C45:F45)&gt;=3,"High",IF(SUM(C45:F45)&gt;=8,"Medium","Low")))</x:f>
      </x:c>
    </x:row>
    <x:row r="46">
      <x:c r="A46" s="8"/>
      <x:c r="B46" s="8"/>
      <x:c r="C46" s="8"/>
      <x:c r="D46" s="8"/>
      <x:c r="E46" s="8"/>
      <x:c r="F46" s="8"/>
      <x:c r="G46" s="8" t="str">
        <x:f>IF(A46="","",IF(MAX(C46:F46)&gt;=3,"High",IF(SUM(C46:F46)&gt;=8,"Medium","Low")))</x:f>
      </x:c>
    </x:row>
    <x:row r="47">
      <x:c r="A47" s="8"/>
      <x:c r="B47" s="8"/>
      <x:c r="C47" s="8"/>
      <x:c r="D47" s="8"/>
      <x:c r="E47" s="8"/>
      <x:c r="F47" s="8"/>
      <x:c r="G47" s="8" t="str">
        <x:f>IF(A47="","",IF(MAX(C47:F47)&gt;=3,"High",IF(SUM(C47:F47)&gt;=8,"Medium","Low")))</x:f>
      </x:c>
    </x:row>
    <x:row r="48">
      <x:c r="A48" s="8"/>
      <x:c r="B48" s="8"/>
      <x:c r="C48" s="8"/>
      <x:c r="D48" s="8"/>
      <x:c r="E48" s="8"/>
      <x:c r="F48" s="8"/>
      <x:c r="G48" s="8" t="str">
        <x:f>IF(A48="","",IF(MAX(C48:F48)&gt;=3,"High",IF(SUM(C48:F48)&gt;=8,"Medium","Low")))</x:f>
      </x:c>
    </x:row>
    <x:row r="49">
      <x:c r="A49" s="8"/>
      <x:c r="B49" s="8"/>
      <x:c r="C49" s="8"/>
      <x:c r="D49" s="8"/>
      <x:c r="E49" s="8"/>
      <x:c r="F49" s="8"/>
      <x:c r="G49" s="8" t="str">
        <x:f>IF(A49="","",IF(MAX(C49:F49)&gt;=3,"High",IF(SUM(C49:F49)&gt;=8,"Medium","Low")))</x:f>
      </x:c>
    </x:row>
    <x:row r="50">
      <x:c r="A50" s="8"/>
      <x:c r="B50" s="8"/>
      <x:c r="C50" s="8"/>
      <x:c r="D50" s="8"/>
      <x:c r="E50" s="8"/>
      <x:c r="F50" s="8"/>
      <x:c r="G50" s="8" t="str">
        <x:f>IF(A50="","",IF(MAX(C50:F50)&gt;=3,"High",IF(SUM(C50:F50)&gt;=8,"Medium","Low")))</x:f>
      </x:c>
    </x:row>
    <x:row r="51">
      <x:c r="A51" s="8"/>
      <x:c r="B51" s="8"/>
      <x:c r="C51" s="8"/>
      <x:c r="D51" s="8"/>
      <x:c r="E51" s="8"/>
      <x:c r="F51" s="8"/>
      <x:c r="G51" s="8" t="str">
        <x:f>IF(A51="","",IF(MAX(C51:F51)&gt;=3,"High",IF(SUM(C51:F51)&gt;=8,"Medium","Low")))</x:f>
      </x:c>
    </x:row>
    <x:row r="52">
      <x:c r="A52" s="8"/>
      <x:c r="B52" s="8"/>
      <x:c r="C52" s="8"/>
      <x:c r="D52" s="8"/>
      <x:c r="E52" s="8"/>
      <x:c r="F52" s="8"/>
      <x:c r="G52" s="8" t="str">
        <x:f>IF(A52="","",IF(MAX(C52:F52)&gt;=3,"High",IF(SUM(C52:F52)&gt;=8,"Medium","Low")))</x:f>
      </x:c>
    </x:row>
    <x:row r="53">
      <x:c r="A53" s="8"/>
      <x:c r="B53" s="8"/>
      <x:c r="C53" s="8"/>
      <x:c r="D53" s="8"/>
      <x:c r="E53" s="8"/>
      <x:c r="F53" s="8"/>
      <x:c r="G53" s="8" t="str">
        <x:f>IF(A53="","",IF(MAX(C53:F53)&gt;=3,"High",IF(SUM(C53:F53)&gt;=8,"Medium","Low")))</x:f>
      </x:c>
    </x:row>
    <x:row r="54">
      <x:c r="A54" s="8"/>
      <x:c r="B54" s="8"/>
      <x:c r="C54" s="8"/>
      <x:c r="D54" s="8"/>
      <x:c r="E54" s="8"/>
      <x:c r="F54" s="8"/>
      <x:c r="G54" s="8" t="str">
        <x:f>IF(A54="","",IF(MAX(C54:F54)&gt;=3,"High",IF(SUM(C54:F54)&gt;=8,"Medium","Low")))</x:f>
      </x:c>
    </x:row>
    <x:row r="55">
      <x:c r="A55" s="8"/>
      <x:c r="B55" s="8"/>
      <x:c r="C55" s="8"/>
      <x:c r="D55" s="8"/>
      <x:c r="E55" s="8"/>
      <x:c r="F55" s="8"/>
      <x:c r="G55" s="8" t="str">
        <x:f>IF(A55="","",IF(MAX(C55:F55)&gt;=3,"High",IF(SUM(C55:F55)&gt;=8,"Medium","Low")))</x:f>
      </x:c>
    </x:row>
    <x:row r="56">
      <x:c r="A56" s="8"/>
      <x:c r="B56" s="8"/>
      <x:c r="C56" s="8"/>
      <x:c r="D56" s="8"/>
      <x:c r="E56" s="8"/>
      <x:c r="F56" s="8"/>
      <x:c r="G56" s="8" t="str">
        <x:f>IF(A56="","",IF(MAX(C56:F56)&gt;=3,"High",IF(SUM(C56:F56)&gt;=8,"Medium","Low")))</x:f>
      </x:c>
    </x:row>
    <x:row r="57">
      <x:c r="A57" s="8"/>
      <x:c r="B57" s="8"/>
      <x:c r="C57" s="8"/>
      <x:c r="D57" s="8"/>
      <x:c r="E57" s="8"/>
      <x:c r="F57" s="8"/>
      <x:c r="G57" s="8" t="str">
        <x:f>IF(A57="","",IF(MAX(C57:F57)&gt;=3,"High",IF(SUM(C57:F57)&gt;=8,"Medium","Low")))</x:f>
      </x:c>
    </x:row>
    <x:row r="58">
      <x:c r="A58" s="8"/>
      <x:c r="B58" s="8"/>
      <x:c r="C58" s="8"/>
      <x:c r="D58" s="8"/>
      <x:c r="E58" s="8"/>
      <x:c r="F58" s="8"/>
      <x:c r="G58" s="8" t="str">
        <x:f>IF(A58="","",IF(MAX(C58:F58)&gt;=3,"High",IF(SUM(C58:F58)&gt;=8,"Medium","Low")))</x:f>
      </x:c>
    </x:row>
    <x:row r="59">
      <x:c r="A59" s="8"/>
      <x:c r="B59" s="8"/>
      <x:c r="C59" s="8"/>
      <x:c r="D59" s="8"/>
      <x:c r="E59" s="8"/>
      <x:c r="F59" s="8"/>
      <x:c r="G59" s="8" t="str">
        <x:f>IF(A59="","",IF(MAX(C59:F59)&gt;=3,"High",IF(SUM(C59:F59)&gt;=8,"Medium","Low")))</x:f>
      </x:c>
    </x:row>
    <x:row r="60">
      <x:c r="A60" s="8"/>
      <x:c r="B60" s="8"/>
      <x:c r="C60" s="8"/>
      <x:c r="D60" s="8"/>
      <x:c r="E60" s="8"/>
      <x:c r="F60" s="8"/>
      <x:c r="G60" s="8" t="str">
        <x:f>IF(A60="","",IF(MAX(C60:F60)&gt;=3,"High",IF(SUM(C60:F60)&gt;=8,"Medium","Low")))</x:f>
      </x:c>
    </x:row>
    <x:row r="61">
      <x:c r="A61" s="8"/>
      <x:c r="B61" s="8"/>
      <x:c r="C61" s="8"/>
      <x:c r="D61" s="8"/>
      <x:c r="E61" s="8"/>
      <x:c r="F61" s="8"/>
      <x:c r="G61" s="8" t="str">
        <x:f>IF(A61="","",IF(MAX(C61:F61)&gt;=3,"High",IF(SUM(C61:F61)&gt;=8,"Medium","Low")))</x:f>
      </x:c>
    </x:row>
    <x:row r="62">
      <x:c r="A62" s="8"/>
      <x:c r="B62" s="8"/>
      <x:c r="C62" s="8"/>
      <x:c r="D62" s="8"/>
      <x:c r="E62" s="8"/>
      <x:c r="F62" s="8"/>
      <x:c r="G62" s="8" t="str">
        <x:f>IF(A62="","",IF(MAX(C62:F62)&gt;=3,"High",IF(SUM(C62:F62)&gt;=8,"Medium","Low")))</x:f>
      </x:c>
    </x:row>
    <x:row r="63">
      <x:c r="A63" s="8"/>
      <x:c r="B63" s="8"/>
      <x:c r="C63" s="8"/>
      <x:c r="D63" s="8"/>
      <x:c r="E63" s="8"/>
      <x:c r="F63" s="8"/>
      <x:c r="G63" s="8" t="str">
        <x:f>IF(A63="","",IF(MAX(C63:F63)&gt;=3,"High",IF(SUM(C63:F63)&gt;=8,"Medium","Low")))</x:f>
      </x:c>
    </x:row>
    <x:row r="64">
      <x:c r="A64" s="8"/>
      <x:c r="B64" s="8"/>
      <x:c r="C64" s="8"/>
      <x:c r="D64" s="8"/>
      <x:c r="E64" s="8"/>
      <x:c r="F64" s="8"/>
      <x:c r="G64" s="8" t="str">
        <x:f>IF(A64="","",IF(MAX(C64:F64)&gt;=3,"High",IF(SUM(C64:F64)&gt;=8,"Medium","Low")))</x:f>
      </x:c>
    </x:row>
    <x:row r="65">
      <x:c r="A65" s="8"/>
      <x:c r="B65" s="8"/>
      <x:c r="C65" s="8"/>
      <x:c r="D65" s="8"/>
      <x:c r="E65" s="8"/>
      <x:c r="F65" s="8"/>
      <x:c r="G65" s="8" t="str">
        <x:f>IF(A65="","",IF(MAX(C65:F65)&gt;=3,"High",IF(SUM(C65:F65)&gt;=8,"Medium","Low")))</x:f>
      </x:c>
    </x:row>
    <x:row r="66">
      <x:c r="A66" s="8"/>
      <x:c r="B66" s="8"/>
      <x:c r="C66" s="8"/>
      <x:c r="D66" s="8"/>
      <x:c r="E66" s="8"/>
      <x:c r="F66" s="8"/>
      <x:c r="G66" s="8" t="str">
        <x:f>IF(A66="","",IF(MAX(C66:F66)&gt;=3,"High",IF(SUM(C66:F66)&gt;=8,"Medium","Low")))</x:f>
      </x:c>
    </x:row>
    <x:row r="67">
      <x:c r="A67" s="8"/>
      <x:c r="B67" s="8"/>
      <x:c r="C67" s="8"/>
      <x:c r="D67" s="8"/>
      <x:c r="E67" s="8"/>
      <x:c r="F67" s="8"/>
      <x:c r="G67" s="8" t="str">
        <x:f>IF(A67="","",IF(MAX(C67:F67)&gt;=3,"High",IF(SUM(C67:F67)&gt;=8,"Medium","Low")))</x:f>
      </x:c>
    </x:row>
    <x:row r="68">
      <x:c r="A68" s="8"/>
      <x:c r="B68" s="8"/>
      <x:c r="C68" s="8"/>
      <x:c r="D68" s="8"/>
      <x:c r="E68" s="8"/>
      <x:c r="F68" s="8"/>
      <x:c r="G68" s="8" t="str">
        <x:f>IF(A68="","",IF(MAX(C68:F68)&gt;=3,"High",IF(SUM(C68:F68)&gt;=8,"Medium","Low")))</x:f>
      </x:c>
    </x:row>
    <x:row r="69">
      <x:c r="A69" s="8"/>
      <x:c r="B69" s="8"/>
      <x:c r="C69" s="8"/>
      <x:c r="D69" s="8"/>
      <x:c r="E69" s="8"/>
      <x:c r="F69" s="8"/>
      <x:c r="G69" s="8" t="str">
        <x:f>IF(A69="","",IF(MAX(C69:F69)&gt;=3,"High",IF(SUM(C69:F69)&gt;=8,"Medium","Low")))</x:f>
      </x:c>
    </x:row>
    <x:row r="70">
      <x:c r="A70" s="8"/>
      <x:c r="B70" s="8"/>
      <x:c r="C70" s="8"/>
      <x:c r="D70" s="8"/>
      <x:c r="E70" s="8"/>
      <x:c r="F70" s="8"/>
      <x:c r="G70" s="8" t="str">
        <x:f>IF(A70="","",IF(MAX(C70:F70)&gt;=3,"High",IF(SUM(C70:F70)&gt;=8,"Medium","Low")))</x:f>
      </x:c>
    </x:row>
    <x:row r="71">
      <x:c r="A71" s="8"/>
      <x:c r="B71" s="8"/>
      <x:c r="C71" s="8"/>
      <x:c r="D71" s="8"/>
      <x:c r="E71" s="8"/>
      <x:c r="F71" s="8"/>
      <x:c r="G71" s="8" t="str">
        <x:f>IF(A71="","",IF(MAX(C71:F71)&gt;=3,"High",IF(SUM(C71:F71)&gt;=8,"Medium","Low")))</x:f>
      </x:c>
    </x:row>
    <x:row r="72">
      <x:c r="A72" s="8"/>
      <x:c r="B72" s="8"/>
      <x:c r="C72" s="8"/>
      <x:c r="D72" s="8"/>
      <x:c r="E72" s="8"/>
      <x:c r="F72" s="8"/>
      <x:c r="G72" s="8" t="str">
        <x:f>IF(A72="","",IF(MAX(C72:F72)&gt;=3,"High",IF(SUM(C72:F72)&gt;=8,"Medium","Low")))</x:f>
      </x:c>
    </x:row>
    <x:row r="73">
      <x:c r="A73" s="8"/>
      <x:c r="B73" s="8"/>
      <x:c r="C73" s="8"/>
      <x:c r="D73" s="8"/>
      <x:c r="E73" s="8"/>
      <x:c r="F73" s="8"/>
      <x:c r="G73" s="8" t="str">
        <x:f>IF(A73="","",IF(MAX(C73:F73)&gt;=3,"High",IF(SUM(C73:F73)&gt;=8,"Medium","Low")))</x:f>
      </x:c>
    </x:row>
    <x:row r="74">
      <x:c r="A74" s="8"/>
      <x:c r="B74" s="8"/>
      <x:c r="C74" s="8"/>
      <x:c r="D74" s="8"/>
      <x:c r="E74" s="8"/>
      <x:c r="F74" s="8"/>
      <x:c r="G74" s="8" t="str">
        <x:f>IF(A74="","",IF(MAX(C74:F74)&gt;=3,"High",IF(SUM(C74:F74)&gt;=8,"Medium","Low")))</x:f>
      </x:c>
    </x:row>
    <x:row r="75">
      <x:c r="A75" s="8"/>
      <x:c r="B75" s="8"/>
      <x:c r="C75" s="8"/>
      <x:c r="D75" s="8"/>
      <x:c r="E75" s="8"/>
      <x:c r="F75" s="8"/>
      <x:c r="G75" s="8" t="str">
        <x:f>IF(A75="","",IF(MAX(C75:F75)&gt;=3,"High",IF(SUM(C75:F75)&gt;=8,"Medium","Low")))</x:f>
      </x:c>
    </x:row>
    <x:row r="76">
      <x:c r="A76" s="8"/>
      <x:c r="B76" s="8"/>
      <x:c r="C76" s="8"/>
      <x:c r="D76" s="8"/>
      <x:c r="E76" s="8"/>
      <x:c r="F76" s="8"/>
      <x:c r="G76" s="8" t="str">
        <x:f>IF(A76="","",IF(MAX(C76:F76)&gt;=3,"High",IF(SUM(C76:F76)&gt;=8,"Medium","Low")))</x:f>
      </x:c>
    </x:row>
    <x:row r="77">
      <x:c r="A77" s="8"/>
      <x:c r="B77" s="8"/>
      <x:c r="C77" s="8"/>
      <x:c r="D77" s="8"/>
      <x:c r="E77" s="8"/>
      <x:c r="F77" s="8"/>
      <x:c r="G77" s="8" t="str">
        <x:f>IF(A77="","",IF(MAX(C77:F77)&gt;=3,"High",IF(SUM(C77:F77)&gt;=8,"Medium","Low")))</x:f>
      </x:c>
    </x:row>
    <x:row r="78">
      <x:c r="A78" s="8"/>
      <x:c r="B78" s="8"/>
      <x:c r="C78" s="8"/>
      <x:c r="D78" s="8"/>
      <x:c r="E78" s="8"/>
      <x:c r="F78" s="8"/>
      <x:c r="G78" s="8" t="str">
        <x:f>IF(A78="","",IF(MAX(C78:F78)&gt;=3,"High",IF(SUM(C78:F78)&gt;=8,"Medium","Low")))</x:f>
      </x:c>
    </x:row>
    <x:row r="79">
      <x:c r="A79" s="8"/>
      <x:c r="B79" s="8"/>
      <x:c r="C79" s="8"/>
      <x:c r="D79" s="8"/>
      <x:c r="E79" s="8"/>
      <x:c r="F79" s="8"/>
      <x:c r="G79" s="8" t="str">
        <x:f>IF(A79="","",IF(MAX(C79:F79)&gt;=3,"High",IF(SUM(C79:F79)&gt;=8,"Medium","Low")))</x:f>
      </x:c>
    </x:row>
    <x:row r="80">
      <x:c r="A80" s="8"/>
      <x:c r="B80" s="8"/>
      <x:c r="C80" s="8"/>
      <x:c r="D80" s="8"/>
      <x:c r="E80" s="8"/>
      <x:c r="F80" s="8"/>
      <x:c r="G80" s="8" t="str">
        <x:f>IF(A80="","",IF(MAX(C80:F80)&gt;=3,"High",IF(SUM(C80:F80)&gt;=8,"Medium","Low")))</x:f>
      </x:c>
    </x:row>
    <x:row r="81">
      <x:c r="A81" s="8"/>
      <x:c r="B81" s="8"/>
      <x:c r="C81" s="8"/>
      <x:c r="D81" s="8"/>
      <x:c r="E81" s="8"/>
      <x:c r="F81" s="8"/>
      <x:c r="G81" s="8" t="str">
        <x:f>IF(A81="","",IF(MAX(C81:F81)&gt;=3,"High",IF(SUM(C81:F81)&gt;=8,"Medium","Low")))</x:f>
      </x:c>
    </x:row>
    <x:row r="82">
      <x:c r="A82" s="8"/>
      <x:c r="B82" s="8"/>
      <x:c r="C82" s="8"/>
      <x:c r="D82" s="8"/>
      <x:c r="E82" s="8"/>
      <x:c r="F82" s="8"/>
      <x:c r="G82" s="8" t="str">
        <x:f>IF(A82="","",IF(MAX(C82:F82)&gt;=3,"High",IF(SUM(C82:F82)&gt;=8,"Medium","Low")))</x:f>
      </x:c>
    </x:row>
    <x:row r="83">
      <x:c r="A83" s="8"/>
      <x:c r="B83" s="8"/>
      <x:c r="C83" s="8"/>
      <x:c r="D83" s="8"/>
      <x:c r="E83" s="8"/>
      <x:c r="F83" s="8"/>
      <x:c r="G83" s="8" t="str">
        <x:f>IF(A83="","",IF(MAX(C83:F83)&gt;=3,"High",IF(SUM(C83:F83)&gt;=8,"Medium","Low")))</x:f>
      </x:c>
    </x:row>
    <x:row r="84">
      <x:c r="A84" s="8"/>
      <x:c r="B84" s="8"/>
      <x:c r="C84" s="8"/>
      <x:c r="D84" s="8"/>
      <x:c r="E84" s="8"/>
      <x:c r="F84" s="8"/>
      <x:c r="G84" s="8" t="str">
        <x:f>IF(A84="","",IF(MAX(C84:F84)&gt;=3,"High",IF(SUM(C84:F84)&gt;=8,"Medium","Low")))</x:f>
      </x:c>
    </x:row>
    <x:row r="85">
      <x:c r="A85" s="8"/>
      <x:c r="B85" s="8"/>
      <x:c r="C85" s="8"/>
      <x:c r="D85" s="8"/>
      <x:c r="E85" s="8"/>
      <x:c r="F85" s="8"/>
      <x:c r="G85" s="8" t="str">
        <x:f>IF(A85="","",IF(MAX(C85:F85)&gt;=3,"High",IF(SUM(C85:F85)&gt;=8,"Medium","Low")))</x:f>
      </x:c>
    </x:row>
    <x:row r="86">
      <x:c r="A86" s="8"/>
      <x:c r="B86" s="8"/>
      <x:c r="C86" s="8"/>
      <x:c r="D86" s="8"/>
      <x:c r="E86" s="8"/>
      <x:c r="F86" s="8"/>
      <x:c r="G86" s="8" t="str">
        <x:f>IF(A86="","",IF(MAX(C86:F86)&gt;=3,"High",IF(SUM(C86:F86)&gt;=8,"Medium","Low")))</x:f>
      </x:c>
    </x:row>
    <x:row r="87">
      <x:c r="A87" s="8"/>
      <x:c r="B87" s="8"/>
      <x:c r="C87" s="8"/>
      <x:c r="D87" s="8"/>
      <x:c r="E87" s="8"/>
      <x:c r="F87" s="8"/>
      <x:c r="G87" s="8" t="str">
        <x:f>IF(A87="","",IF(MAX(C87:F87)&gt;=3,"High",IF(SUM(C87:F87)&gt;=8,"Medium","Low")))</x:f>
      </x:c>
    </x:row>
    <x:row r="88">
      <x:c r="A88" s="8"/>
      <x:c r="B88" s="8"/>
      <x:c r="C88" s="8"/>
      <x:c r="D88" s="8"/>
      <x:c r="E88" s="8"/>
      <x:c r="F88" s="8"/>
      <x:c r="G88" s="8" t="str">
        <x:f>IF(A88="","",IF(MAX(C88:F88)&gt;=3,"High",IF(SUM(C88:F88)&gt;=8,"Medium","Low")))</x:f>
      </x:c>
    </x:row>
    <x:row r="89">
      <x:c r="A89" s="8"/>
      <x:c r="B89" s="8"/>
      <x:c r="C89" s="8"/>
      <x:c r="D89" s="8"/>
      <x:c r="E89" s="8"/>
      <x:c r="F89" s="8"/>
      <x:c r="G89" s="8" t="str">
        <x:f>IF(A89="","",IF(MAX(C89:F89)&gt;=3,"High",IF(SUM(C89:F89)&gt;=8,"Medium","Low")))</x:f>
      </x:c>
    </x:row>
    <x:row r="90">
      <x:c r="A90" s="8"/>
      <x:c r="B90" s="8"/>
      <x:c r="C90" s="8"/>
      <x:c r="D90" s="8"/>
      <x:c r="E90" s="8"/>
      <x:c r="F90" s="8"/>
      <x:c r="G90" s="8" t="str">
        <x:f>IF(A90="","",IF(MAX(C90:F90)&gt;=3,"High",IF(SUM(C90:F90)&gt;=8,"Medium","Low")))</x:f>
      </x:c>
    </x:row>
    <x:row r="91">
      <x:c r="A91" s="8"/>
      <x:c r="B91" s="8"/>
      <x:c r="C91" s="8"/>
      <x:c r="D91" s="8"/>
      <x:c r="E91" s="8"/>
      <x:c r="F91" s="8"/>
      <x:c r="G91" s="8" t="str">
        <x:f>IF(A91="","",IF(MAX(C91:F91)&gt;=3,"High",IF(SUM(C91:F91)&gt;=8,"Medium","Low")))</x:f>
      </x:c>
    </x:row>
    <x:row r="92">
      <x:c r="A92" s="8"/>
      <x:c r="B92" s="8"/>
      <x:c r="C92" s="8"/>
      <x:c r="D92" s="8"/>
      <x:c r="E92" s="8"/>
      <x:c r="F92" s="8"/>
      <x:c r="G92" s="8" t="str">
        <x:f>IF(A92="","",IF(MAX(C92:F92)&gt;=3,"High",IF(SUM(C92:F92)&gt;=8,"Medium","Low")))</x:f>
      </x:c>
    </x:row>
    <x:row r="93">
      <x:c r="A93" s="8"/>
      <x:c r="B93" s="8"/>
      <x:c r="C93" s="8"/>
      <x:c r="D93" s="8"/>
      <x:c r="E93" s="8"/>
      <x:c r="F93" s="8"/>
      <x:c r="G93" s="8" t="str">
        <x:f>IF(A93="","",IF(MAX(C93:F93)&gt;=3,"High",IF(SUM(C93:F93)&gt;=8,"Medium","Low")))</x:f>
      </x:c>
    </x:row>
    <x:row r="94">
      <x:c r="A94" s="8"/>
      <x:c r="B94" s="8"/>
      <x:c r="C94" s="8"/>
      <x:c r="D94" s="8"/>
      <x:c r="E94" s="8"/>
      <x:c r="F94" s="8"/>
      <x:c r="G94" s="8" t="str">
        <x:f>IF(A94="","",IF(MAX(C94:F94)&gt;=3,"High",IF(SUM(C94:F94)&gt;=8,"Medium","Low")))</x:f>
      </x:c>
    </x:row>
    <x:row r="95">
      <x:c r="A95" s="8"/>
      <x:c r="B95" s="8"/>
      <x:c r="C95" s="8"/>
      <x:c r="D95" s="8"/>
      <x:c r="E95" s="8"/>
      <x:c r="F95" s="8"/>
      <x:c r="G95" s="8" t="str">
        <x:f>IF(A95="","",IF(MAX(C95:F95)&gt;=3,"High",IF(SUM(C95:F95)&gt;=8,"Medium","Low")))</x:f>
      </x:c>
    </x:row>
    <x:row r="96">
      <x:c r="A96" s="8"/>
      <x:c r="B96" s="8"/>
      <x:c r="C96" s="8"/>
      <x:c r="D96" s="8"/>
      <x:c r="E96" s="8"/>
      <x:c r="F96" s="8"/>
      <x:c r="G96" s="8" t="str">
        <x:f>IF(A96="","",IF(MAX(C96:F96)&gt;=3,"High",IF(SUM(C96:F96)&gt;=8,"Medium","Low")))</x:f>
      </x:c>
    </x:row>
    <x:row r="97">
      <x:c r="A97" s="8"/>
      <x:c r="B97" s="8"/>
      <x:c r="C97" s="8"/>
      <x:c r="D97" s="8"/>
      <x:c r="E97" s="8"/>
      <x:c r="F97" s="8"/>
      <x:c r="G97" s="8" t="str">
        <x:f>IF(A97="","",IF(MAX(C97:F97)&gt;=3,"High",IF(SUM(C97:F97)&gt;=8,"Medium","Low")))</x:f>
      </x:c>
    </x:row>
    <x:row r="98">
      <x:c r="A98" s="8"/>
      <x:c r="B98" s="8"/>
      <x:c r="C98" s="8"/>
      <x:c r="D98" s="8"/>
      <x:c r="E98" s="8"/>
      <x:c r="F98" s="8"/>
      <x:c r="G98" s="8" t="str">
        <x:f>IF(A98="","",IF(MAX(C98:F98)&gt;=3,"High",IF(SUM(C98:F98)&gt;=8,"Medium","Low")))</x:f>
      </x:c>
    </x:row>
    <x:row r="99">
      <x:c r="A99" s="8"/>
      <x:c r="B99" s="8"/>
      <x:c r="C99" s="8"/>
      <x:c r="D99" s="8"/>
      <x:c r="E99" s="8"/>
      <x:c r="F99" s="8"/>
      <x:c r="G99" s="8" t="str">
        <x:f>IF(A99="","",IF(MAX(C99:F99)&gt;=3,"High",IF(SUM(C99:F99)&gt;=8,"Medium","Low")))</x:f>
      </x:c>
    </x:row>
    <x:row r="100">
      <x:c r="A100" s="8"/>
      <x:c r="B100" s="8"/>
      <x:c r="C100" s="8"/>
      <x:c r="D100" s="8"/>
      <x:c r="E100" s="8"/>
      <x:c r="F100" s="8"/>
      <x:c r="G100" s="8" t="str">
        <x:f>IF(A100="","",IF(MAX(C100:F100)&gt;=3,"High",IF(SUM(C100:F100)&gt;=8,"Medium","Low")))</x:f>
      </x:c>
    </x:row>
    <x:row r="101">
      <x:c r="A101" s="8"/>
      <x:c r="B101" s="8"/>
      <x:c r="C101" s="8"/>
      <x:c r="D101" s="8"/>
      <x:c r="E101" s="8"/>
      <x:c r="F101" s="8"/>
      <x:c r="G101" s="8" t="str">
        <x:f>IF(A101="","",IF(MAX(C101:F101)&gt;=3,"High",IF(SUM(C101:F101)&gt;=8,"Medium","Low")))</x:f>
      </x:c>
    </x:row>
    <x:row r="102">
      <x:c r="A102" s="8"/>
      <x:c r="B102" s="8"/>
      <x:c r="C102" s="8"/>
      <x:c r="D102" s="8"/>
      <x:c r="E102" s="8"/>
      <x:c r="F102" s="8"/>
      <x:c r="G102" s="8" t="str">
        <x:f>IF(A102="","",IF(MAX(C102:F102)&gt;=3,"High",IF(SUM(C102:F102)&gt;=8,"Medium","Low")))</x:f>
      </x:c>
    </x:row>
    <x:row r="103">
      <x:c r="A103" s="8"/>
      <x:c r="B103" s="8"/>
      <x:c r="C103" s="8"/>
      <x:c r="D103" s="8"/>
      <x:c r="E103" s="8"/>
      <x:c r="F103" s="8"/>
      <x:c r="G103" s="8" t="str">
        <x:f>IF(A103="","",IF(MAX(C103:F103)&gt;=3,"High",IF(SUM(C103:F103)&gt;=8,"Medium","Low")))</x:f>
      </x:c>
    </x:row>
    <x:row r="104">
      <x:c r="A104" s="8"/>
      <x:c r="B104" s="8"/>
      <x:c r="C104" s="8"/>
      <x:c r="D104" s="8"/>
      <x:c r="E104" s="8"/>
      <x:c r="F104" s="8"/>
      <x:c r="G104" s="8" t="str">
        <x:f>IF(A104="","",IF(MAX(C104:F104)&gt;=3,"High",IF(SUM(C104:F104)&gt;=8,"Medium","Low")))</x:f>
      </x:c>
    </x:row>
  </x:sheetData>
  <x:mergeCells>
    <x:mergeCell ref="A1:H1"/>
    <x:mergeCell ref="A2:H2"/>
  </x:mergeCells>
  <x:dataValidations count="1">
    <x:dataValidation type="whole" operator="between" sqref="C5:F104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86e88ebb9a144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36.25" hidden="0" customWidth="1"/>
    <x:col min="5" max="5" width="18.1299991607666" hidden="0" customWidth="1"/>
    <x:col min="6" max="6" width="18.1299991607666" hidden="0" customWidth="1"/>
    <x:col min="7" max="7" width="35" hidden="0" customWidth="1"/>
  </x:cols>
  <x:sheetData>
    <x:row r="1" ht="25.5" customHeight="1">
      <x:c r="A1" s="2" t="str">
        <x:v>Contract Audit Checklist</x:v>
      </x:c>
    </x:row>
    <x:row r="2">
      <x:c r="A2" s="10" t="str">
        <x:v>Evidence checklist for periodic contract file reviews.</x:v>
      </x:c>
    </x:row>
    <x:row r="4">
      <x:c r="A4" s="6" t="str">
        <x:v>Audit ID</x:v>
      </x:c>
      <x:c r="B4" s="6" t="str">
        <x:v>Contract ID</x:v>
      </x:c>
      <x:c r="C4" s="6" t="str">
        <x:v>Audit Area</x:v>
      </x:c>
      <x:c r="D4" s="6" t="str">
        <x:v>Evidence Required</x:v>
      </x:c>
      <x:c r="E4" s="6" t="str">
        <x:v>Owner</x:v>
      </x:c>
      <x:c r="F4" s="6" t="str">
        <x:v>Status</x:v>
      </x:c>
      <x:c r="G4" s="6" t="str">
        <x:v>Findings / Action</x:v>
      </x:c>
    </x:row>
    <x:row r="5">
      <x:c r="A5" s="8" t="str">
        <x:v>AUD-001</x:v>
      </x:c>
      <x:c r="B5" s="8" t="str">
        <x:v>CT-001</x:v>
      </x:c>
      <x:c r="C5" s="8" t="str">
        <x:v>Register completeness</x:v>
      </x:c>
      <x:c r="D5" s="8" t="str">
        <x:v>ID, owner, value, term, renewal, risk</x:v>
      </x:c>
      <x:c r="E5" s="8" t="str">
        <x:v>Contract manager</x:v>
      </x:c>
      <x:c r="F5" s="8" t="str">
        <x:v>Pass</x:v>
      </x:c>
      <x:c r="G5" s="8" t="str">
        <x:v>Complete.</x:v>
      </x:c>
    </x:row>
    <x:row r="6">
      <x:c r="A6" s="8" t="str">
        <x:v>AUD-002</x:v>
      </x:c>
      <x:c r="B6" s="8" t="str">
        <x:v>CT-001</x:v>
      </x:c>
      <x:c r="C6" s="8" t="str">
        <x:v>Executed copy</x:v>
      </x:c>
      <x:c r="D6" s="8" t="str">
        <x:v>Signed agreement and exhibits</x:v>
      </x:c>
      <x:c r="E6" s="8" t="str">
        <x:v>Contract manager</x:v>
      </x:c>
      <x:c r="F6" s="8" t="str">
        <x:v>Pass</x:v>
      </x:c>
      <x:c r="G6" s="8" t="str">
        <x:v>Signed copy linked.</x:v>
      </x:c>
    </x:row>
    <x:row r="7">
      <x:c r="A7" s="8" t="str">
        <x:v>AUD-003</x:v>
      </x:c>
      <x:c r="B7" s="8" t="str">
        <x:v>CT-004</x:v>
      </x:c>
      <x:c r="C7" s="8" t="str">
        <x:v>Approval trail</x:v>
      </x:c>
      <x:c r="D7" s="8" t="str">
        <x:v>DoA, finance, legal, privacy/security approvals</x:v>
      </x:c>
      <x:c r="E7" s="8" t="str">
        <x:v>Legal</x:v>
      </x:c>
      <x:c r="F7" s="8" t="str">
        <x:v>Open</x:v>
      </x:c>
      <x:c r="G7" s="8" t="str">
        <x:v>Awaiting final service credit approval.</x:v>
      </x:c>
    </x:row>
    <x:row r="8">
      <x:c r="A8" s="8" t="str">
        <x:v>AUD-004</x:v>
      </x:c>
      <x:c r="B8" s="8" t="str">
        <x:v>CT-004</x:v>
      </x:c>
      <x:c r="C8" s="8" t="str">
        <x:v>Change control</x:v>
      </x:c>
      <x:c r="D8" s="8" t="str">
        <x:v>Addendum, variation, PO amendment, subcontracting approvals</x:v>
      </x:c>
      <x:c r="E8" s="8" t="str">
        <x:v>Contract manager</x:v>
      </x:c>
      <x:c r="F8" s="8" t="str">
        <x:v>Open</x:v>
      </x:c>
      <x:c r="G8" s="8" t="str">
        <x:v>No change request yet.</x:v>
      </x:c>
    </x:row>
    <x:row r="9">
      <x:c r="A9" s="8" t="str">
        <x:v>AUD-005</x:v>
      </x:c>
      <x:c r="B9" s="8" t="str">
        <x:v>CT-002</x:v>
      </x:c>
      <x:c r="C9" s="8" t="str">
        <x:v>Data protection</x:v>
      </x:c>
      <x:c r="D9" s="8" t="str">
        <x:v>DPA, subprocessors, breach notice, transfer terms</x:v>
      </x:c>
      <x:c r="E9" s="8" t="str">
        <x:v>Security</x:v>
      </x:c>
      <x:c r="F9" s="8" t="str">
        <x:v>Open</x:v>
      </x:c>
      <x:c r="G9" s="8" t="str">
        <x:v>Vendor response pending.</x:v>
      </x:c>
    </x:row>
    <x:row r="10">
      <x:c r="A10" s="8" t="str">
        <x:v>AUD-006</x:v>
      </x:c>
      <x:c r="B10" s="8" t="str">
        <x:v>CT-003</x:v>
      </x:c>
      <x:c r="C10" s="8" t="str">
        <x:v>Retention</x:v>
      </x:c>
      <x:c r="D10" s="8" t="str">
        <x:v>Archive path and retention date</x:v>
      </x:c>
      <x:c r="E10" s="8" t="str">
        <x:v>Contract manager</x:v>
      </x:c>
      <x:c r="F10" s="8" t="str">
        <x:v>Pass</x:v>
      </x:c>
      <x:c r="G10" s="8" t="str">
        <x:v>Retention marked 7 years minimum.</x:v>
      </x:c>
    </x:row>
    <x:row r="11">
      <x:c r="A11" s="8" t="str">
        <x:v>AUD-007</x:v>
      </x:c>
      <x:c r="B11" s="8" t="str">
        <x:v>CT-001</x:v>
      </x:c>
      <x:c r="C11" s="8" t="str">
        <x:v>Obligations</x:v>
      </x:c>
      <x:c r="D11" s="8" t="str">
        <x:v>Owner, due date, frequency, evidence</x:v>
      </x:c>
      <x:c r="E11" s="8" t="str">
        <x:v>Business owner</x:v>
      </x:c>
      <x:c r="F11" s="8" t="str">
        <x:v>Pass</x:v>
      </x:c>
      <x:c r="G11" s="8" t="str">
        <x:v>Monthly uptime report assigned.</x:v>
      </x:c>
    </x:row>
    <x:row r="12">
      <x:c r="A12" s="8" t="str">
        <x:v>AUD-008</x:v>
      </x:c>
      <x:c r="B12" s="8" t="str">
        <x:v>CT-005</x:v>
      </x:c>
      <x:c r="C12" s="8" t="str">
        <x:v>Authority</x:v>
      </x:c>
      <x:c r="D12" s="8" t="str">
        <x:v>Signature authority and entity confirmation</x:v>
      </x:c>
      <x:c r="E12" s="8" t="str">
        <x:v>Legal</x:v>
      </x:c>
      <x:c r="F12" s="8" t="str">
        <x:v>Pass</x:v>
      </x:c>
      <x:c r="G12" s="8" t="str">
        <x:v>Authorized signatory confirmed.</x:v>
      </x:c>
    </x:row>
    <x:row r="13">
      <x:c r="A13" s="8"/>
      <x:c r="B13" s="8"/>
      <x:c r="C13" s="8"/>
      <x:c r="D13" s="8"/>
      <x:c r="E13" s="8"/>
      <x:c r="F13" s="8"/>
      <x:c r="G13" s="8"/>
    </x:row>
    <x:row r="14">
      <x:c r="A14" s="8"/>
      <x:c r="B14" s="8"/>
      <x:c r="C14" s="8"/>
      <x:c r="D14" s="8"/>
      <x:c r="E14" s="8"/>
      <x:c r="F14" s="8"/>
      <x:c r="G14" s="8"/>
    </x:row>
    <x:row r="15">
      <x:c r="A15" s="8"/>
      <x:c r="B15" s="8"/>
      <x:c r="C15" s="8"/>
      <x:c r="D15" s="8"/>
      <x:c r="E15" s="8"/>
      <x:c r="F15" s="8"/>
      <x:c r="G15" s="8"/>
    </x:row>
    <x:row r="16">
      <x:c r="A16" s="8"/>
      <x:c r="B16" s="8"/>
      <x:c r="C16" s="8"/>
      <x:c r="D16" s="8"/>
      <x:c r="E16" s="8"/>
      <x:c r="F16" s="8"/>
      <x:c r="G16" s="8"/>
    </x:row>
    <x:row r="17">
      <x:c r="A17" s="8"/>
      <x:c r="B17" s="8"/>
      <x:c r="C17" s="8"/>
      <x:c r="D17" s="8"/>
      <x:c r="E17" s="8"/>
      <x:c r="F17" s="8"/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>
      <x:c r="A20" s="8"/>
      <x:c r="B20" s="8"/>
      <x:c r="C20" s="8"/>
      <x:c r="D20" s="8"/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</x:sheetData>
  <x:mergeCells>
    <x:mergeCell ref="A1:H1"/>
    <x:mergeCell ref="A2:H2"/>
  </x:mergeCells>
  <x:dataValidations count="1">
    <x:dataValidation type="list" sqref="F5:F104">
      <x:formula1>"Pass,Open,Fail,N/A"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271d87ec647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</x:cols>
  <x:sheetData>
    <x:row r="1" ht="25.5" customHeight="1">
      <x:c r="A1" s="2" t="str">
        <x:v>Contract Governance Framework</x:v>
      </x:c>
    </x:row>
    <x:row r="2">
      <x:c r="A2" s="10" t="str">
        <x:v>Decision rights, cadence, and accountable roles.</x:v>
      </x:c>
    </x:row>
    <x:row r="4">
      <x:c r="A4" s="6" t="str">
        <x:v>Governance Layer</x:v>
      </x:c>
      <x:c r="B4" s="6" t="str">
        <x:v>Accountable Role</x:v>
      </x:c>
      <x:c r="C4" s="6" t="str">
        <x:v>Decision Rights</x:v>
      </x:c>
      <x:c r="D4" s="6" t="str">
        <x:v>Cadence</x:v>
      </x:c>
      <x:c r="E4" s="6" t="str">
        <x:v>Escalation Trigger</x:v>
      </x:c>
      <x:c r="F4" s="6" t="str">
        <x:v>Evidence</x:v>
      </x:c>
    </x:row>
    <x:row r="5">
      <x:c r="A5" s="8" t="str">
        <x:v>Business ownership</x:v>
      </x:c>
      <x:c r="B5" s="8" t="str">
        <x:v>Business owner</x:v>
      </x:c>
      <x:c r="C5" s="8" t="str">
        <x:v>Need, scope, acceptance, budget</x:v>
      </x:c>
      <x:c r="D5" s="8" t="str">
        <x:v>Per request</x:v>
      </x:c>
      <x:c r="E5" s="8" t="str">
        <x:v>Scope/value disagreement or delayed acceptance</x:v>
      </x:c>
      <x:c r="F5" s="8" t="str">
        <x:v>Approved intake and acceptance record</x:v>
      </x:c>
    </x:row>
    <x:row r="6">
      <x:c r="A6" s="8" t="str">
        <x:v>Contract operations</x:v>
      </x:c>
      <x:c r="B6" s="8" t="str">
        <x:v>Contract manager</x:v>
      </x:c>
      <x:c r="C6" s="8" t="str">
        <x:v>Register, workflow, renewals, audit queue</x:v>
      </x:c>
      <x:c r="D6" s="8" t="str">
        <x:v>Weekly / monthly</x:v>
      </x:c>
      <x:c r="E6" s="8" t="str">
        <x:v>Missing owner, overdue renewal, incomplete file</x:v>
      </x:c>
      <x:c r="F6" s="8" t="str">
        <x:v>Register and governance pack</x:v>
      </x:c>
    </x:row>
    <x:row r="7">
      <x:c r="A7" s="8" t="str">
        <x:v>Legal control</x:v>
      </x:c>
      <x:c r="B7" s="8" t="str">
        <x:v>Legal counsel</x:v>
      </x:c>
      <x:c r="C7" s="8" t="str">
        <x:v>Templates, deviations, high-risk terms, addenda</x:v>
      </x:c>
      <x:c r="D7" s="8" t="str">
        <x:v>As needed / quarterly</x:v>
      </x:c>
      <x:c r="E7" s="8" t="str">
        <x:v>High-risk clause or unresolved fallback</x:v>
      </x:c>
      <x:c r="F7" s="8" t="str">
        <x:v>Redline, approval note, playbook update</x:v>
      </x:c>
    </x:row>
    <x:row r="8">
      <x:c r="A8" s="8" t="str">
        <x:v>Finance / procurement</x:v>
      </x:c>
      <x:c r="B8" s="8" t="str">
        <x:v>Finance approver</x:v>
      </x:c>
      <x:c r="C8" s="8" t="str">
        <x:v>Budget, payment, PO, DoA compliance</x:v>
      </x:c>
      <x:c r="D8" s="8" t="str">
        <x:v>Per threshold</x:v>
      </x:c>
      <x:c r="E8" s="8" t="str">
        <x:v>Variation above 10% or payment deviation</x:v>
      </x:c>
      <x:c r="F8" s="8" t="str">
        <x:v>DoA approval and PO/addendum</x:v>
      </x:c>
    </x:row>
    <x:row r="9">
      <x:c r="A9" s="8" t="str">
        <x:v>Privacy / security</x:v>
      </x:c>
      <x:c r="B9" s="8" t="str">
        <x:v>Security or privacy lead</x:v>
      </x:c>
      <x:c r="C9" s="8" t="str">
        <x:v>Data, access, transfer, breach, audit terms</x:v>
      </x:c>
      <x:c r="D9" s="8" t="str">
        <x:v>Per data-bearing contract</x:v>
      </x:c>
      <x:c r="E9" s="8" t="str">
        <x:v>Sensitive data or unsupported controls</x:v>
      </x:c>
      <x:c r="F9" s="8" t="str">
        <x:v>Security/privacy approval</x:v>
      </x:c>
    </x:row>
    <x:row r="10">
      <x:c r="A10" s="8" t="str">
        <x:v>Executive governance</x:v>
      </x:c>
      <x:c r="B10" s="8" t="str">
        <x:v>Executive sponsor</x:v>
      </x:c>
      <x:c r="C10" s="8" t="str">
        <x:v>Strategic risk, disputes, material exceptions</x:v>
      </x:c>
      <x:c r="D10" s="8" t="str">
        <x:v>Exception / quarterly</x:v>
      </x:c>
      <x:c r="E10" s="8" t="str">
        <x:v>Critical risk or strategic exposure</x:v>
      </x:c>
      <x:c r="F10" s="8" t="str">
        <x:v>Executive decision record</x:v>
      </x:c>
    </x:row>
    <x:row r="11">
      <x:c r="A11" s="8" t="str">
        <x:v>Client entity approval</x:v>
      </x:c>
      <x:c r="B11" s="8" t="str">
        <x:v>Client entity approver</x:v>
      </x:c>
      <x:c r="C11" s="8" t="str">
        <x:v>Etimad approvals for covered contracts</x:v>
      </x:c>
      <x:c r="D11" s="8" t="str">
        <x:v>Per variation/delegation</x:v>
      </x:c>
      <x:c r="E11" s="8" t="str">
        <x:v>Dubai Law No. 5 of 2026 applies</x:v>
      </x:c>
      <x:c r="F11" s="8" t="str">
        <x:v>Etimad verification and approval record</x:v>
      </x:c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  <x:row r="31">
      <x:c r="A31" s="8"/>
      <x:c r="B31" s="8"/>
      <x:c r="C31" s="8"/>
      <x:c r="D31" s="8"/>
      <x:c r="E31" s="8"/>
      <x:c r="F31" s="8"/>
    </x:row>
    <x:row r="32">
      <x:c r="A32" s="8"/>
      <x:c r="B32" s="8"/>
      <x:c r="C32" s="8"/>
      <x:c r="D32" s="8"/>
      <x:c r="E32" s="8"/>
      <x:c r="F32" s="8"/>
    </x:row>
    <x:row r="33">
      <x:c r="A33" s="8"/>
      <x:c r="B33" s="8"/>
      <x:c r="C33" s="8"/>
      <x:c r="D33" s="8"/>
      <x:c r="E33" s="8"/>
      <x:c r="F33" s="8"/>
    </x:row>
    <x:row r="34">
      <x:c r="A34" s="8"/>
      <x:c r="B34" s="8"/>
      <x:c r="C34" s="8"/>
      <x:c r="D34" s="8"/>
      <x:c r="E34" s="8"/>
      <x:c r="F34" s="8"/>
    </x:row>
    <x:row r="35">
      <x:c r="A35" s="8"/>
      <x:c r="B35" s="8"/>
      <x:c r="C35" s="8"/>
      <x:c r="D35" s="8"/>
      <x:c r="E35" s="8"/>
      <x:c r="F35" s="8"/>
    </x:row>
    <x:row r="36">
      <x:c r="A36" s="8"/>
      <x:c r="B36" s="8"/>
      <x:c r="C36" s="8"/>
      <x:c r="D36" s="8"/>
      <x:c r="E36" s="8"/>
      <x:c r="F36" s="8"/>
    </x:row>
    <x:row r="37">
      <x:c r="A37" s="8"/>
      <x:c r="B37" s="8"/>
      <x:c r="C37" s="8"/>
      <x:c r="D37" s="8"/>
      <x:c r="E37" s="8"/>
      <x:c r="F37" s="8"/>
    </x:row>
    <x:row r="38">
      <x:c r="A38" s="8"/>
      <x:c r="B38" s="8"/>
      <x:c r="C38" s="8"/>
      <x:c r="D38" s="8"/>
      <x:c r="E38" s="8"/>
      <x:c r="F38" s="8"/>
    </x:row>
    <x:row r="39">
      <x:c r="A39" s="8"/>
      <x:c r="B39" s="8"/>
      <x:c r="C39" s="8"/>
      <x:c r="D39" s="8"/>
      <x:c r="E39" s="8"/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>
      <x:c r="A42" s="8"/>
      <x:c r="B42" s="8"/>
      <x:c r="C42" s="8"/>
      <x:c r="D42" s="8"/>
      <x:c r="E42" s="8"/>
      <x:c r="F42" s="8"/>
    </x:row>
    <x:row r="43">
      <x:c r="A43" s="8"/>
      <x:c r="B43" s="8"/>
      <x:c r="C43" s="8"/>
      <x:c r="D43" s="8"/>
      <x:c r="E43" s="8"/>
      <x:c r="F43" s="8"/>
    </x:row>
    <x:row r="44">
      <x:c r="A44" s="8"/>
      <x:c r="B44" s="8"/>
      <x:c r="C44" s="8"/>
      <x:c r="D44" s="8"/>
      <x:c r="E44" s="8"/>
      <x:c r="F44" s="8"/>
    </x:row>
    <x:row r="45">
      <x:c r="A45" s="8"/>
      <x:c r="B45" s="8"/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  <x:row r="61">
      <x:c r="A61" s="8"/>
      <x:c r="B61" s="8"/>
      <x:c r="C61" s="8"/>
      <x:c r="D61" s="8"/>
      <x:c r="E61" s="8"/>
      <x:c r="F61" s="8"/>
    </x:row>
    <x:row r="62">
      <x:c r="A62" s="8"/>
      <x:c r="B62" s="8"/>
      <x:c r="C62" s="8"/>
      <x:c r="D62" s="8"/>
      <x:c r="E62" s="8"/>
      <x:c r="F62" s="8"/>
    </x:row>
    <x:row r="63">
      <x:c r="A63" s="8"/>
      <x:c r="B63" s="8"/>
      <x:c r="C63" s="8"/>
      <x:c r="D63" s="8"/>
      <x:c r="E63" s="8"/>
      <x:c r="F63" s="8"/>
    </x:row>
    <x:row r="64">
      <x:c r="A64" s="8"/>
      <x:c r="B64" s="8"/>
      <x:c r="C64" s="8"/>
      <x:c r="D64" s="8"/>
      <x:c r="E64" s="8"/>
      <x:c r="F64" s="8"/>
    </x:row>
    <x:row r="65">
      <x:c r="A65" s="8"/>
      <x:c r="B65" s="8"/>
      <x:c r="C65" s="8"/>
      <x:c r="D65" s="8"/>
      <x:c r="E65" s="8"/>
      <x:c r="F65" s="8"/>
    </x:row>
    <x:row r="66">
      <x:c r="A66" s="8"/>
      <x:c r="B66" s="8"/>
      <x:c r="C66" s="8"/>
      <x:c r="D66" s="8"/>
      <x:c r="E66" s="8"/>
      <x:c r="F66" s="8"/>
    </x:row>
    <x:row r="67">
      <x:c r="A67" s="8"/>
      <x:c r="B67" s="8"/>
      <x:c r="C67" s="8"/>
      <x:c r="D67" s="8"/>
      <x:c r="E67" s="8"/>
      <x:c r="F67" s="8"/>
    </x:row>
    <x:row r="68">
      <x:c r="A68" s="8"/>
      <x:c r="B68" s="8"/>
      <x:c r="C68" s="8"/>
      <x:c r="D68" s="8"/>
      <x:c r="E68" s="8"/>
      <x:c r="F68" s="8"/>
    </x:row>
    <x:row r="69">
      <x:c r="A69" s="8"/>
      <x:c r="B69" s="8"/>
      <x:c r="C69" s="8"/>
      <x:c r="D69" s="8"/>
      <x:c r="E69" s="8"/>
      <x:c r="F69" s="8"/>
    </x:row>
    <x:row r="70">
      <x:c r="A70" s="8"/>
      <x:c r="B70" s="8"/>
      <x:c r="C70" s="8"/>
      <x:c r="D70" s="8"/>
      <x:c r="E70" s="8"/>
      <x:c r="F70" s="8"/>
    </x:row>
    <x:row r="71">
      <x:c r="A71" s="8"/>
      <x:c r="B71" s="8"/>
      <x:c r="C71" s="8"/>
      <x:c r="D71" s="8"/>
      <x:c r="E71" s="8"/>
      <x:c r="F71" s="8"/>
    </x:row>
    <x:row r="72">
      <x:c r="A72" s="8"/>
      <x:c r="B72" s="8"/>
      <x:c r="C72" s="8"/>
      <x:c r="D72" s="8"/>
      <x:c r="E72" s="8"/>
      <x:c r="F72" s="8"/>
    </x:row>
    <x:row r="73">
      <x:c r="A73" s="8"/>
      <x:c r="B73" s="8"/>
      <x:c r="C73" s="8"/>
      <x:c r="D73" s="8"/>
      <x:c r="E73" s="8"/>
      <x:c r="F73" s="8"/>
    </x:row>
    <x:row r="74">
      <x:c r="A74" s="8"/>
      <x:c r="B74" s="8"/>
      <x:c r="C74" s="8"/>
      <x:c r="D74" s="8"/>
      <x:c r="E74" s="8"/>
      <x:c r="F74" s="8"/>
    </x:row>
    <x:row r="75">
      <x:c r="A75" s="8"/>
      <x:c r="B75" s="8"/>
      <x:c r="C75" s="8"/>
      <x:c r="D75" s="8"/>
      <x:c r="E75" s="8"/>
      <x:c r="F75" s="8"/>
    </x:row>
    <x:row r="76">
      <x:c r="A76" s="8"/>
      <x:c r="B76" s="8"/>
      <x:c r="C76" s="8"/>
      <x:c r="D76" s="8"/>
      <x:c r="E76" s="8"/>
      <x:c r="F76" s="8"/>
    </x:row>
    <x:row r="77">
      <x:c r="A77" s="8"/>
      <x:c r="B77" s="8"/>
      <x:c r="C77" s="8"/>
      <x:c r="D77" s="8"/>
      <x:c r="E77" s="8"/>
      <x:c r="F77" s="8"/>
    </x:row>
    <x:row r="78">
      <x:c r="A78" s="8"/>
      <x:c r="B78" s="8"/>
      <x:c r="C78" s="8"/>
      <x:c r="D78" s="8"/>
      <x:c r="E78" s="8"/>
      <x:c r="F78" s="8"/>
    </x:row>
    <x:row r="79">
      <x:c r="A79" s="8"/>
      <x:c r="B79" s="8"/>
      <x:c r="C79" s="8"/>
      <x:c r="D79" s="8"/>
      <x:c r="E79" s="8"/>
      <x:c r="F79" s="8"/>
    </x:row>
    <x:row r="80">
      <x:c r="A80" s="8"/>
      <x:c r="B80" s="8"/>
      <x:c r="C80" s="8"/>
      <x:c r="D80" s="8"/>
      <x:c r="E80" s="8"/>
      <x:c r="F80" s="8"/>
    </x:row>
    <x:row r="81">
      <x:c r="A81" s="8"/>
      <x:c r="B81" s="8"/>
      <x:c r="C81" s="8"/>
      <x:c r="D81" s="8"/>
      <x:c r="E81" s="8"/>
      <x:c r="F81" s="8"/>
    </x:row>
    <x:row r="82">
      <x:c r="A82" s="8"/>
      <x:c r="B82" s="8"/>
      <x:c r="C82" s="8"/>
      <x:c r="D82" s="8"/>
      <x:c r="E82" s="8"/>
      <x:c r="F82" s="8"/>
    </x:row>
    <x:row r="83">
      <x:c r="A83" s="8"/>
      <x:c r="B83" s="8"/>
      <x:c r="C83" s="8"/>
      <x:c r="D83" s="8"/>
      <x:c r="E83" s="8"/>
      <x:c r="F83" s="8"/>
    </x:row>
    <x:row r="84">
      <x:c r="A84" s="8"/>
      <x:c r="B84" s="8"/>
      <x:c r="C84" s="8"/>
      <x:c r="D84" s="8"/>
      <x:c r="E84" s="8"/>
      <x:c r="F84" s="8"/>
    </x:row>
    <x:row r="85">
      <x:c r="A85" s="8"/>
      <x:c r="B85" s="8"/>
      <x:c r="C85" s="8"/>
      <x:c r="D85" s="8"/>
      <x:c r="E85" s="8"/>
      <x:c r="F85" s="8"/>
    </x:row>
    <x:row r="86">
      <x:c r="A86" s="8"/>
      <x:c r="B86" s="8"/>
      <x:c r="C86" s="8"/>
      <x:c r="D86" s="8"/>
      <x:c r="E86" s="8"/>
      <x:c r="F86" s="8"/>
    </x:row>
    <x:row r="87">
      <x:c r="A87" s="8"/>
      <x:c r="B87" s="8"/>
      <x:c r="C87" s="8"/>
      <x:c r="D87" s="8"/>
      <x:c r="E87" s="8"/>
      <x:c r="F87" s="8"/>
    </x:row>
    <x:row r="88">
      <x:c r="A88" s="8"/>
      <x:c r="B88" s="8"/>
      <x:c r="C88" s="8"/>
      <x:c r="D88" s="8"/>
      <x:c r="E88" s="8"/>
      <x:c r="F88" s="8"/>
    </x:row>
    <x:row r="89">
      <x:c r="A89" s="8"/>
      <x:c r="B89" s="8"/>
      <x:c r="C89" s="8"/>
      <x:c r="D89" s="8"/>
      <x:c r="E89" s="8"/>
      <x:c r="F89" s="8"/>
    </x:row>
    <x:row r="90">
      <x:c r="A90" s="8"/>
      <x:c r="B90" s="8"/>
      <x:c r="C90" s="8"/>
      <x:c r="D90" s="8"/>
      <x:c r="E90" s="8"/>
      <x:c r="F90" s="8"/>
    </x:row>
    <x:row r="91">
      <x:c r="A91" s="8"/>
      <x:c r="B91" s="8"/>
      <x:c r="C91" s="8"/>
      <x:c r="D91" s="8"/>
      <x:c r="E91" s="8"/>
      <x:c r="F91" s="8"/>
    </x:row>
    <x:row r="92">
      <x:c r="A92" s="8"/>
      <x:c r="B92" s="8"/>
      <x:c r="C92" s="8"/>
      <x:c r="D92" s="8"/>
      <x:c r="E92" s="8"/>
      <x:c r="F92" s="8"/>
    </x:row>
    <x:row r="93">
      <x:c r="A93" s="8"/>
      <x:c r="B93" s="8"/>
      <x:c r="C93" s="8"/>
      <x:c r="D93" s="8"/>
      <x:c r="E93" s="8"/>
      <x:c r="F93" s="8"/>
    </x:row>
    <x:row r="94">
      <x:c r="A94" s="8"/>
      <x:c r="B94" s="8"/>
      <x:c r="C94" s="8"/>
      <x:c r="D94" s="8"/>
      <x:c r="E94" s="8"/>
      <x:c r="F94" s="8"/>
    </x:row>
    <x:row r="95">
      <x:c r="A95" s="8"/>
      <x:c r="B95" s="8"/>
      <x:c r="C95" s="8"/>
      <x:c r="D95" s="8"/>
      <x:c r="E95" s="8"/>
      <x:c r="F95" s="8"/>
    </x:row>
    <x:row r="96">
      <x:c r="A96" s="8"/>
      <x:c r="B96" s="8"/>
      <x:c r="C96" s="8"/>
      <x:c r="D96" s="8"/>
      <x:c r="E96" s="8"/>
      <x:c r="F96" s="8"/>
    </x:row>
    <x:row r="97">
      <x:c r="A97" s="8"/>
      <x:c r="B97" s="8"/>
      <x:c r="C97" s="8"/>
      <x:c r="D97" s="8"/>
      <x:c r="E97" s="8"/>
      <x:c r="F97" s="8"/>
    </x:row>
    <x:row r="98">
      <x:c r="A98" s="8"/>
      <x:c r="B98" s="8"/>
      <x:c r="C98" s="8"/>
      <x:c r="D98" s="8"/>
      <x:c r="E98" s="8"/>
      <x:c r="F98" s="8"/>
    </x:row>
    <x:row r="99">
      <x:c r="A99" s="8"/>
      <x:c r="B99" s="8"/>
      <x:c r="C99" s="8"/>
      <x:c r="D99" s="8"/>
      <x:c r="E99" s="8"/>
      <x:c r="F99" s="8"/>
    </x:row>
    <x:row r="100">
      <x:c r="A100" s="8"/>
      <x:c r="B100" s="8"/>
      <x:c r="C100" s="8"/>
      <x:c r="D100" s="8"/>
      <x:c r="E100" s="8"/>
      <x:c r="F100" s="8"/>
    </x:row>
    <x:row r="101">
      <x:c r="A101" s="8"/>
      <x:c r="B101" s="8"/>
      <x:c r="C101" s="8"/>
      <x:c r="D101" s="8"/>
      <x:c r="E101" s="8"/>
      <x:c r="F101" s="8"/>
    </x:row>
    <x:row r="102">
      <x:c r="A102" s="8"/>
      <x:c r="B102" s="8"/>
      <x:c r="C102" s="8"/>
      <x:c r="D102" s="8"/>
      <x:c r="E102" s="8"/>
      <x:c r="F102" s="8"/>
    </x:row>
    <x:row r="103">
      <x:c r="A103" s="8"/>
      <x:c r="B103" s="8"/>
      <x:c r="C103" s="8"/>
      <x:c r="D103" s="8"/>
      <x:c r="E103" s="8"/>
      <x:c r="F103" s="8"/>
    </x:row>
    <x:row r="104">
      <x:c r="A104" s="8"/>
      <x:c r="B104" s="8"/>
      <x:c r="C104" s="8"/>
      <x:c r="D104" s="8"/>
      <x:c r="E104" s="8"/>
      <x:c r="F104" s="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5fcb57e48ee45d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.25" hidden="0" customWidth="1"/>
    <x:col min="3" max="3" width="31.25" hidden="0" customWidth="1"/>
    <x:col min="4" max="4" width="31.25" hidden="0" customWidth="1"/>
    <x:col min="5" max="5" width="20" hidden="0" customWidth="1"/>
    <x:col min="6" max="6" width="20" hidden="0" customWidth="1"/>
    <x:col min="7" max="7" width="31.25" hidden="0" customWidth="1"/>
  </x:cols>
  <x:sheetData>
    <x:row r="1" ht="25.5" customHeight="1">
      <x:c r="A1" s="2" t="str">
        <x:v>Contract KPI Framework</x:v>
      </x:c>
    </x:row>
    <x:row r="2">
      <x:c r="A2" s="10" t="str">
        <x:v>Operational metrics for cycle time, readiness, renewals, obligations, and exceptions.</x:v>
      </x:c>
    </x:row>
    <x:row r="4">
      <x:c r="A4" s="6" t="str">
        <x:v>KPI</x:v>
      </x:c>
      <x:c r="B4" s="6" t="str">
        <x:v>Definition</x:v>
      </x:c>
      <x:c r="C4" s="6" t="str">
        <x:v>Source</x:v>
      </x:c>
      <x:c r="D4" s="6" t="str">
        <x:v>Target</x:v>
      </x:c>
      <x:c r="E4" s="6" t="str">
        <x:v>Current</x:v>
      </x:c>
      <x:c r="F4" s="6" t="str">
        <x:v>Status</x:v>
      </x:c>
      <x:c r="G4" s="6" t="str">
        <x:v>Action</x:v>
      </x:c>
    </x:row>
    <x:row r="5">
      <x:c r="A5" s="8" t="str">
        <x:v>Cycle time</x:v>
      </x:c>
      <x:c r="B5" s="8" t="str">
        <x:v>Days from intake to signature</x:v>
      </x:c>
      <x:c r="C5" s="8" t="str">
        <x:v>Intake Queue / Contract Register</x:v>
      </x:c>
      <x:c r="D5" s="8" t="str">
        <x:v>Median trend improves monthly</x:v>
      </x:c>
      <x:c r="E5" s="8" t="str"/>
      <x:c r="F5" s="8" t="str">
        <x:v>Track</x:v>
      </x:c>
      <x:c r="G5" s="8" t="str">
        <x:v>Review bottlenecks by lane</x:v>
      </x:c>
    </x:row>
    <x:row r="6">
      <x:c r="A6" s="8" t="str">
        <x:v>First-pass completeness</x:v>
      </x:c>
      <x:c r="B6" s="8" t="str">
        <x:v>Accepted intakes without missing mandatory fields</x:v>
      </x:c>
      <x:c r="C6" s="8" t="str">
        <x:v>Intake Queue</x:v>
      </x:c>
      <x:c r="D6" s="8" t="str">
        <x:v>&gt;=90%</x:v>
      </x:c>
      <x:c r="E6" s="8" t="str"/>
      <x:c r="F6" s="8" t="str">
        <x:v>Track</x:v>
      </x:c>
      <x:c r="G6" s="8" t="str">
        <x:v>Coach requesters on missing fields</x:v>
      </x:c>
    </x:row>
    <x:row r="7">
      <x:c r="A7" s="8" t="str">
        <x:v>Renewal notice compliance</x:v>
      </x:c>
      <x:c r="B7" s="8" t="str">
        <x:v>Renewal decisions before notice deadline</x:v>
      </x:c>
      <x:c r="C7" s="8" t="str">
        <x:v>Renewal Calendar</x:v>
      </x:c>
      <x:c r="D7" s="8" t="str">
        <x:v>100%</x:v>
      </x:c>
      <x:c r="E7" s="8" t="str"/>
      <x:c r="F7" s="8" t="str">
        <x:v>Track</x:v>
      </x:c>
      <x:c r="G7" s="8" t="str">
        <x:v>Escalate decisions inside 90-day window</x:v>
      </x:c>
    </x:row>
    <x:row r="8">
      <x:c r="A8" s="8" t="str">
        <x:v>Obligation overdue rate</x:v>
      </x:c>
      <x:c r="B8" s="8" t="str">
        <x:v>Overdue obligations / open obligations</x:v>
      </x:c>
      <x:c r="C8" s="8" t="str">
        <x:v>Obligation Tracker</x:v>
      </x:c>
      <x:c r="D8" s="8" t="str">
        <x:v>&lt;=5%</x:v>
      </x:c>
      <x:c r="E8" s="8" t="str"/>
      <x:c r="F8" s="8" t="str">
        <x:v>Track</x:v>
      </x:c>
      <x:c r="G8" s="8" t="str">
        <x:v>Escalate overdue owners</x:v>
      </x:c>
    </x:row>
    <x:row r="9">
      <x:c r="A9" s="8" t="str">
        <x:v>High-risk exception rate</x:v>
      </x:c>
      <x:c r="B9" s="8" t="str">
        <x:v>High-risk contracts with approved deviations</x:v>
      </x:c>
      <x:c r="C9" s="8" t="str">
        <x:v>Clause Playbook / approvals</x:v>
      </x:c>
      <x:c r="D9" s="8" t="str">
        <x:v>Trend reviewed quarterly</x:v>
      </x:c>
      <x:c r="E9" s="8" t="str"/>
      <x:c r="F9" s="8" t="str">
        <x:v>Track</x:v>
      </x:c>
      <x:c r="G9" s="8" t="str">
        <x:v>Update playbook for repeated issues</x:v>
      </x:c>
    </x:row>
    <x:row r="10">
      <x:c r="A10" s="8" t="str">
        <x:v>Audit readiness</x:v>
      </x:c>
      <x:c r="B10" s="8" t="str">
        <x:v>Files with signed copy, approvals, owner, value, term, retention</x:v>
      </x:c>
      <x:c r="C10" s="8" t="str">
        <x:v>Audit Checklist</x:v>
      </x:c>
      <x:c r="D10" s="8" t="str">
        <x:v>&gt;=95%</x:v>
      </x:c>
      <x:c r="E10" s="8" t="str"/>
      <x:c r="F10" s="8" t="str">
        <x:v>Track</x:v>
      </x:c>
      <x:c r="G10" s="8" t="str">
        <x:v>Run monthly file-quality audit</x:v>
      </x:c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 s="8"/>
      <x:c r="B14" s="8"/>
      <x:c r="C14" s="8"/>
      <x:c r="D14" s="8"/>
      <x:c r="E14" s="8"/>
      <x:c r="F14" s="8"/>
      <x:c r="G14" s="8"/>
    </x:row>
    <x:row r="15">
      <x:c r="A15" s="8"/>
      <x:c r="B15" s="8"/>
      <x:c r="C15" s="8"/>
      <x:c r="D15" s="8"/>
      <x:c r="E15" s="8"/>
      <x:c r="F15" s="8"/>
      <x:c r="G15" s="8"/>
    </x:row>
    <x:row r="16">
      <x:c r="A16" s="8"/>
      <x:c r="B16" s="8"/>
      <x:c r="C16" s="8"/>
      <x:c r="D16" s="8"/>
      <x:c r="E16" s="8"/>
      <x:c r="F16" s="8"/>
      <x:c r="G16" s="8"/>
    </x:row>
    <x:row r="17">
      <x:c r="A17" s="8"/>
      <x:c r="B17" s="8"/>
      <x:c r="C17" s="8"/>
      <x:c r="D17" s="8"/>
      <x:c r="E17" s="8"/>
      <x:c r="F17" s="8"/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>
      <x:c r="A20" s="8"/>
      <x:c r="B20" s="8"/>
      <x:c r="C20" s="8"/>
      <x:c r="D20" s="8"/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83d160a3d4c4e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35.630001068115234" hidden="0" customWidth="1"/>
  </x:cols>
  <x:sheetData>
    <x:row r="1" ht="25.5" customHeight="1">
      <x:c r="A1" s="2" t="str">
        <x:v>Contract Change Management Procedure</x:v>
      </x:c>
    </x:row>
    <x:row r="2">
      <x:c r="A2" s="10" t="str">
        <x:v>Track variations, addenda, PO amendments, and subcontracting/delegation approvals.</x:v>
      </x:c>
    </x:row>
    <x:row r="4">
      <x:c r="A4" s="6" t="str">
        <x:v>Change ID</x:v>
      </x:c>
      <x:c r="B4" s="6" t="str">
        <x:v>Contract ID</x:v>
      </x:c>
      <x:c r="C4" s="6" t="str">
        <x:v>Change Type</x:v>
      </x:c>
      <x:c r="D4" s="6" t="str">
        <x:v>Original Value</x:v>
      </x:c>
      <x:c r="E4" s="6" t="str">
        <x:v>Cumulative Variation</x:v>
      </x:c>
      <x:c r="F4" s="6" t="str">
        <x:v>Variation %</x:v>
      </x:c>
      <x:c r="G4" s="6" t="str">
        <x:v>DoA Re-approval?</x:v>
      </x:c>
      <x:c r="H4" s="6" t="str">
        <x:v>Addendum Required?</x:v>
      </x:c>
      <x:c r="I4" s="6" t="str">
        <x:v>Etimad / Client Approval?</x:v>
      </x:c>
      <x:c r="J4" s="6" t="str">
        <x:v>Status</x:v>
      </x:c>
      <x:c r="K4" s="6" t="str">
        <x:v>Notes</x:v>
      </x:c>
    </x:row>
    <x:row r="5">
      <x:c r="A5" s="8" t="str">
        <x:v>CHG-001</x:v>
      </x:c>
      <x:c r="B5" s="8" t="str">
        <x:v>CT-001</x:v>
      </x:c>
      <x:c r="C5" s="8" t="str">
        <x:v>Scope variation</x:v>
      </x:c>
      <x:c r="D5" s="11" t="n">
        <x:v>125000</x:v>
      </x:c>
      <x:c r="E5" s="11" t="n">
        <x:v>9000</x:v>
      </x:c>
      <x:c r="F5" s="14" t="n">
        <x:f>IF(A5="","",IF(D5=0,0,E5/D5))</x:f>
        <x:v>0.072</x:v>
      </x:c>
      <x:c r="G5" s="8" t="str">
        <x:f>IF(A5="","",IF(F5&gt;10%,"Yes","No"))</x:f>
        <x:v>No</x:v>
      </x:c>
      <x:c r="H5" s="8" t="str">
        <x:f>IF(A5="","",IF(OR(F5&gt;10%,C5="Subcontracting / delegation"),"Yes","No"))</x:f>
        <x:v>No</x:v>
      </x:c>
      <x:c r="I5" s="8" t="str">
        <x:v>N/A</x:v>
      </x:c>
      <x:c r="J5" s="8" t="str">
        <x:v>Approved</x:v>
      </x:c>
      <x:c r="K5" s="8" t="str">
        <x:v>Below 10%; keep audit trail.</x:v>
      </x:c>
    </x:row>
    <x:row r="6">
      <x:c r="A6" s="8" t="str">
        <x:v>CHG-002</x:v>
      </x:c>
      <x:c r="B6" s="8" t="str">
        <x:v>CT-004</x:v>
      </x:c>
      <x:c r="C6" s="8" t="str">
        <x:v>Service credit change</x:v>
      </x:c>
      <x:c r="D6" s="11" t="n">
        <x:v>210000</x:v>
      </x:c>
      <x:c r="E6" s="11" t="n">
        <x:v>28000</x:v>
      </x:c>
      <x:c r="F6" s="14" t="n">
        <x:f>IF(A6="","",IF(D6=0,0,E6/D6))</x:f>
        <x:v>0.13333333333333333</x:v>
      </x:c>
      <x:c r="G6" s="8" t="str">
        <x:f>IF(A6="","",IF(F6&gt;10%,"Yes","No"))</x:f>
        <x:v>Yes</x:v>
      </x:c>
      <x:c r="H6" s="8" t="str">
        <x:f>IF(A6="","",IF(OR(F6&gt;10%,C6="Subcontracting / delegation"),"Yes","No"))</x:f>
        <x:v>Yes</x:v>
      </x:c>
      <x:c r="I6" s="8" t="str">
        <x:v>Review</x:v>
      </x:c>
      <x:c r="J6" s="8" t="str">
        <x:v>Open</x:v>
      </x:c>
      <x:c r="K6" s="8" t="str">
        <x:v>Variation exceeds 10%; DoA and addendum required.</x:v>
      </x:c>
    </x:row>
    <x:row r="7">
      <x:c r="A7" s="8" t="str">
        <x:v>CHG-003</x:v>
      </x:c>
      <x:c r="B7" s="8" t="str">
        <x:v>CT-003</x:v>
      </x:c>
      <x:c r="C7" s="8" t="str">
        <x:v>PO amendment</x:v>
      </x:c>
      <x:c r="D7" s="11" t="n">
        <x:v>42000</x:v>
      </x:c>
      <x:c r="E7" s="11" t="n">
        <x:v>3000</x:v>
      </x:c>
      <x:c r="F7" s="14" t="n">
        <x:f>IF(A7="","",IF(D7=0,0,E7/D7))</x:f>
        <x:v>0.07142857142857142</x:v>
      </x:c>
      <x:c r="G7" s="8" t="str">
        <x:f>IF(A7="","",IF(F7&gt;10%,"Yes","No"))</x:f>
        <x:v>No</x:v>
      </x:c>
      <x:c r="H7" s="8" t="str">
        <x:f>IF(A7="","",IF(OR(F7&gt;10%,C7="Subcontracting / delegation"),"Yes","No"))</x:f>
        <x:v>No</x:v>
      </x:c>
      <x:c r="I7" s="8" t="str">
        <x:v>N/A</x:v>
      </x:c>
      <x:c r="J7" s="8" t="str">
        <x:v>Approved</x:v>
      </x:c>
      <x:c r="K7" s="8" t="str">
        <x:v>Minor commercial update.</x:v>
      </x:c>
    </x:row>
    <x:row r="8">
      <x:c r="A8" s="8" t="str">
        <x:v>CHG-004</x:v>
      </x:c>
      <x:c r="B8" s="8" t="str">
        <x:v>CT-002</x:v>
      </x:c>
      <x:c r="C8" s="8" t="str">
        <x:v>Subcontracting / delegation</x:v>
      </x:c>
      <x:c r="D8" s="11" t="n">
        <x:v>0</x:v>
      </x:c>
      <x:c r="E8" s="11" t="n">
        <x:v>0</x:v>
      </x:c>
      <x:c r="F8" s="14" t="n">
        <x:f>IF(A8="","",IF(D8=0,0,E8/D8))</x:f>
        <x:v>0</x:v>
      </x:c>
      <x:c r="G8" s="8" t="str">
        <x:f>IF(A8="","",IF(F8&gt;10%,"Yes","No"))</x:f>
        <x:v>No</x:v>
      </x:c>
      <x:c r="H8" s="8" t="str">
        <x:f>IF(A8="","",IF(OR(F8&gt;10%,C8="Subcontracting / delegation"),"Yes","No"))</x:f>
        <x:v>Yes</x:v>
      </x:c>
      <x:c r="I8" s="8" t="str">
        <x:v>Required if covered</x:v>
      </x:c>
      <x:c r="J8" s="8" t="str">
        <x:v>Open</x:v>
      </x:c>
      <x:c r="K8" s="8" t="str">
        <x:v>Verify coverage and client entity approval.</x:v>
      </x:c>
    </x:row>
    <x:row r="9">
      <x:c r="A9" s="8" t="str">
        <x:v>CHG-005</x:v>
      </x:c>
      <x:c r="B9" s="8" t="str">
        <x:v>CT-005</x:v>
      </x:c>
      <x:c r="C9" s="8" t="str">
        <x:v>Term extension</x:v>
      </x:c>
      <x:c r="D9" s="11" t="n">
        <x:v>0</x:v>
      </x:c>
      <x:c r="E9" s="11" t="n">
        <x:v>0</x:v>
      </x:c>
      <x:c r="F9" s="14" t="n">
        <x:f>IF(A9="","",IF(D9=0,0,E9/D9))</x:f>
        <x:v>0</x:v>
      </x:c>
      <x:c r="G9" s="8" t="str">
        <x:f>IF(A9="","",IF(F9&gt;10%,"Yes","No"))</x:f>
        <x:v>No</x:v>
      </x:c>
      <x:c r="H9" s="8" t="str">
        <x:f>IF(A9="","",IF(OR(F9&gt;10%,C9="Subcontracting / delegation"),"Yes","No"))</x:f>
        <x:v>No</x:v>
      </x:c>
      <x:c r="I9" s="8" t="str">
        <x:v>N/A</x:v>
      </x:c>
      <x:c r="J9" s="8" t="str">
        <x:v>Draft</x:v>
      </x:c>
      <x:c r="K9" s="8" t="str">
        <x:v>Confirm signature authority.</x:v>
      </x:c>
    </x:row>
    <x:row r="10">
      <x:c r="A10" s="8"/>
      <x:c r="B10" s="8"/>
      <x:c r="C10" s="8"/>
      <x:c r="D10" s="11"/>
      <x:c r="E10" s="11"/>
      <x:c r="F10" s="14" t="str">
        <x:f>IF(A10="","",IF(D10=0,0,E10/D10))</x:f>
      </x:c>
      <x:c r="G10" s="8" t="str">
        <x:f>IF(A10="","",IF(F10&gt;10%,"Yes","No"))</x:f>
      </x:c>
      <x:c r="H10" s="8" t="str">
        <x:f>IF(A10="","",IF(OR(F10&gt;10%,C10="Subcontracting / delegation"),"Yes","No"))</x:f>
      </x:c>
      <x:c r="I10" s="8"/>
      <x:c r="J10" s="8"/>
      <x:c r="K10" s="8"/>
    </x:row>
    <x:row r="11">
      <x:c r="A11" s="8"/>
      <x:c r="B11" s="8"/>
      <x:c r="C11" s="8"/>
      <x:c r="D11" s="11"/>
      <x:c r="E11" s="11"/>
      <x:c r="F11" s="14" t="str">
        <x:f>IF(A11="","",IF(D11=0,0,E11/D11))</x:f>
      </x:c>
      <x:c r="G11" s="8" t="str">
        <x:f>IF(A11="","",IF(F11&gt;10%,"Yes","No"))</x:f>
      </x:c>
      <x:c r="H11" s="8" t="str">
        <x:f>IF(A11="","",IF(OR(F11&gt;10%,C11="Subcontracting / delegation"),"Yes","No"))</x:f>
      </x:c>
      <x:c r="I11" s="8"/>
      <x:c r="J11" s="8"/>
      <x:c r="K11" s="8"/>
    </x:row>
    <x:row r="12">
      <x:c r="A12" s="8"/>
      <x:c r="B12" s="8"/>
      <x:c r="C12" s="8"/>
      <x:c r="D12" s="11"/>
      <x:c r="E12" s="11"/>
      <x:c r="F12" s="14" t="str">
        <x:f>IF(A12="","",IF(D12=0,0,E12/D12))</x:f>
      </x:c>
      <x:c r="G12" s="8" t="str">
        <x:f>IF(A12="","",IF(F12&gt;10%,"Yes","No"))</x:f>
      </x:c>
      <x:c r="H12" s="8" t="str">
        <x:f>IF(A12="","",IF(OR(F12&gt;10%,C12="Subcontracting / delegation"),"Yes","No"))</x:f>
      </x:c>
      <x:c r="I12" s="8"/>
      <x:c r="J12" s="8"/>
      <x:c r="K12" s="8"/>
    </x:row>
    <x:row r="13">
      <x:c r="A13" s="8"/>
      <x:c r="B13" s="8"/>
      <x:c r="C13" s="8"/>
      <x:c r="D13" s="11"/>
      <x:c r="E13" s="11"/>
      <x:c r="F13" s="14" t="str">
        <x:f>IF(A13="","",IF(D13=0,0,E13/D13))</x:f>
      </x:c>
      <x:c r="G13" s="8" t="str">
        <x:f>IF(A13="","",IF(F13&gt;10%,"Yes","No"))</x:f>
      </x:c>
      <x:c r="H13" s="8" t="str">
        <x:f>IF(A13="","",IF(OR(F13&gt;10%,C13="Subcontracting / delegation"),"Yes","No"))</x:f>
      </x:c>
      <x:c r="I13" s="8"/>
      <x:c r="J13" s="8"/>
      <x:c r="K13" s="8"/>
    </x:row>
    <x:row r="14">
      <x:c r="A14" s="8"/>
      <x:c r="B14" s="8"/>
      <x:c r="C14" s="8"/>
      <x:c r="D14" s="11"/>
      <x:c r="E14" s="11"/>
      <x:c r="F14" s="14" t="str">
        <x:f>IF(A14="","",IF(D14=0,0,E14/D14))</x:f>
      </x:c>
      <x:c r="G14" s="8" t="str">
        <x:f>IF(A14="","",IF(F14&gt;10%,"Yes","No"))</x:f>
      </x:c>
      <x:c r="H14" s="8" t="str">
        <x:f>IF(A14="","",IF(OR(F14&gt;10%,C14="Subcontracting / delegation"),"Yes","No"))</x:f>
      </x:c>
      <x:c r="I14" s="8"/>
      <x:c r="J14" s="8"/>
      <x:c r="K14" s="8"/>
    </x:row>
    <x:row r="15">
      <x:c r="A15" s="8"/>
      <x:c r="B15" s="8"/>
      <x:c r="C15" s="8"/>
      <x:c r="D15" s="11"/>
      <x:c r="E15" s="11"/>
      <x:c r="F15" s="14" t="str">
        <x:f>IF(A15="","",IF(D15=0,0,E15/D15))</x:f>
      </x:c>
      <x:c r="G15" s="8" t="str">
        <x:f>IF(A15="","",IF(F15&gt;10%,"Yes","No"))</x:f>
      </x:c>
      <x:c r="H15" s="8" t="str">
        <x:f>IF(A15="","",IF(OR(F15&gt;10%,C15="Subcontracting / delegation"),"Yes","No"))</x:f>
      </x:c>
      <x:c r="I15" s="8"/>
      <x:c r="J15" s="8"/>
      <x:c r="K15" s="8"/>
    </x:row>
    <x:row r="16">
      <x:c r="A16" s="8"/>
      <x:c r="B16" s="8"/>
      <x:c r="C16" s="8"/>
      <x:c r="D16" s="11"/>
      <x:c r="E16" s="11"/>
      <x:c r="F16" s="14" t="str">
        <x:f>IF(A16="","",IF(D16=0,0,E16/D16))</x:f>
      </x:c>
      <x:c r="G16" s="8" t="str">
        <x:f>IF(A16="","",IF(F16&gt;10%,"Yes","No"))</x:f>
      </x:c>
      <x:c r="H16" s="8" t="str">
        <x:f>IF(A16="","",IF(OR(F16&gt;10%,C16="Subcontracting / delegation"),"Yes","No"))</x:f>
      </x:c>
      <x:c r="I16" s="8"/>
      <x:c r="J16" s="8"/>
      <x:c r="K16" s="8"/>
    </x:row>
    <x:row r="17">
      <x:c r="A17" s="8"/>
      <x:c r="B17" s="8"/>
      <x:c r="C17" s="8"/>
      <x:c r="D17" s="11"/>
      <x:c r="E17" s="11"/>
      <x:c r="F17" s="14" t="str">
        <x:f>IF(A17="","",IF(D17=0,0,E17/D17))</x:f>
      </x:c>
      <x:c r="G17" s="8" t="str">
        <x:f>IF(A17="","",IF(F17&gt;10%,"Yes","No"))</x:f>
      </x:c>
      <x:c r="H17" s="8" t="str">
        <x:f>IF(A17="","",IF(OR(F17&gt;10%,C17="Subcontracting / delegation"),"Yes","No"))</x:f>
      </x:c>
      <x:c r="I17" s="8"/>
      <x:c r="J17" s="8"/>
      <x:c r="K17" s="8"/>
    </x:row>
    <x:row r="18">
      <x:c r="A18" s="8"/>
      <x:c r="B18" s="8"/>
      <x:c r="C18" s="8"/>
      <x:c r="D18" s="11"/>
      <x:c r="E18" s="11"/>
      <x:c r="F18" s="14" t="str">
        <x:f>IF(A18="","",IF(D18=0,0,E18/D18))</x:f>
      </x:c>
      <x:c r="G18" s="8" t="str">
        <x:f>IF(A18="","",IF(F18&gt;10%,"Yes","No"))</x:f>
      </x:c>
      <x:c r="H18" s="8" t="str">
        <x:f>IF(A18="","",IF(OR(F18&gt;10%,C18="Subcontracting / delegation"),"Yes","No"))</x:f>
      </x:c>
      <x:c r="I18" s="8"/>
      <x:c r="J18" s="8"/>
      <x:c r="K18" s="8"/>
    </x:row>
    <x:row r="19">
      <x:c r="A19" s="8"/>
      <x:c r="B19" s="8"/>
      <x:c r="C19" s="8"/>
      <x:c r="D19" s="11"/>
      <x:c r="E19" s="11"/>
      <x:c r="F19" s="14" t="str">
        <x:f>IF(A19="","",IF(D19=0,0,E19/D19))</x:f>
      </x:c>
      <x:c r="G19" s="8" t="str">
        <x:f>IF(A19="","",IF(F19&gt;10%,"Yes","No"))</x:f>
      </x:c>
      <x:c r="H19" s="8" t="str">
        <x:f>IF(A19="","",IF(OR(F19&gt;10%,C19="Subcontracting / delegation"),"Yes","No"))</x:f>
      </x:c>
      <x:c r="I19" s="8"/>
      <x:c r="J19" s="8"/>
      <x:c r="K19" s="8"/>
    </x:row>
    <x:row r="20">
      <x:c r="A20" s="8"/>
      <x:c r="B20" s="8"/>
      <x:c r="C20" s="8"/>
      <x:c r="D20" s="11"/>
      <x:c r="E20" s="11"/>
      <x:c r="F20" s="14" t="str">
        <x:f>IF(A20="","",IF(D20=0,0,E20/D20))</x:f>
      </x:c>
      <x:c r="G20" s="8" t="str">
        <x:f>IF(A20="","",IF(F20&gt;10%,"Yes","No"))</x:f>
      </x:c>
      <x:c r="H20" s="8" t="str">
        <x:f>IF(A20="","",IF(OR(F20&gt;10%,C20="Subcontracting / delegation"),"Yes","No"))</x:f>
      </x:c>
      <x:c r="I20" s="8"/>
      <x:c r="J20" s="8"/>
      <x:c r="K20" s="8"/>
    </x:row>
    <x:row r="21">
      <x:c r="A21" s="8"/>
      <x:c r="B21" s="8"/>
      <x:c r="C21" s="8"/>
      <x:c r="D21" s="11"/>
      <x:c r="E21" s="11"/>
      <x:c r="F21" s="14" t="str">
        <x:f>IF(A21="","",IF(D21=0,0,E21/D21))</x:f>
      </x:c>
      <x:c r="G21" s="8" t="str">
        <x:f>IF(A21="","",IF(F21&gt;10%,"Yes","No"))</x:f>
      </x:c>
      <x:c r="H21" s="8" t="str">
        <x:f>IF(A21="","",IF(OR(F21&gt;10%,C21="Subcontracting / delegation"),"Yes","No"))</x:f>
      </x:c>
      <x:c r="I21" s="8"/>
      <x:c r="J21" s="8"/>
      <x:c r="K21" s="8"/>
    </x:row>
    <x:row r="22">
      <x:c r="A22" s="8"/>
      <x:c r="B22" s="8"/>
      <x:c r="C22" s="8"/>
      <x:c r="D22" s="11"/>
      <x:c r="E22" s="11"/>
      <x:c r="F22" s="14" t="str">
        <x:f>IF(A22="","",IF(D22=0,0,E22/D22))</x:f>
      </x:c>
      <x:c r="G22" s="8" t="str">
        <x:f>IF(A22="","",IF(F22&gt;10%,"Yes","No"))</x:f>
      </x:c>
      <x:c r="H22" s="8" t="str">
        <x:f>IF(A22="","",IF(OR(F22&gt;10%,C22="Subcontracting / delegation"),"Yes","No"))</x:f>
      </x:c>
      <x:c r="I22" s="8"/>
      <x:c r="J22" s="8"/>
      <x:c r="K22" s="8"/>
    </x:row>
    <x:row r="23">
      <x:c r="A23" s="8"/>
      <x:c r="B23" s="8"/>
      <x:c r="C23" s="8"/>
      <x:c r="D23" s="11"/>
      <x:c r="E23" s="11"/>
      <x:c r="F23" s="14" t="str">
        <x:f>IF(A23="","",IF(D23=0,0,E23/D23))</x:f>
      </x:c>
      <x:c r="G23" s="8" t="str">
        <x:f>IF(A23="","",IF(F23&gt;10%,"Yes","No"))</x:f>
      </x:c>
      <x:c r="H23" s="8" t="str">
        <x:f>IF(A23="","",IF(OR(F23&gt;10%,C23="Subcontracting / delegation"),"Yes","No"))</x:f>
      </x:c>
      <x:c r="I23" s="8"/>
      <x:c r="J23" s="8"/>
      <x:c r="K23" s="8"/>
    </x:row>
    <x:row r="24">
      <x:c r="A24" s="8"/>
      <x:c r="B24" s="8"/>
      <x:c r="C24" s="8"/>
      <x:c r="D24" s="11"/>
      <x:c r="E24" s="11"/>
      <x:c r="F24" s="14" t="str">
        <x:f>IF(A24="","",IF(D24=0,0,E24/D24))</x:f>
      </x:c>
      <x:c r="G24" s="8" t="str">
        <x:f>IF(A24="","",IF(F24&gt;10%,"Yes","No"))</x:f>
      </x:c>
      <x:c r="H24" s="8" t="str">
        <x:f>IF(A24="","",IF(OR(F24&gt;10%,C24="Subcontracting / delegation"),"Yes","No"))</x:f>
      </x:c>
      <x:c r="I24" s="8"/>
      <x:c r="J24" s="8"/>
      <x:c r="K24" s="8"/>
    </x:row>
    <x:row r="25">
      <x:c r="A25" s="8"/>
      <x:c r="B25" s="8"/>
      <x:c r="C25" s="8"/>
      <x:c r="D25" s="11"/>
      <x:c r="E25" s="11"/>
      <x:c r="F25" s="14" t="str">
        <x:f>IF(A25="","",IF(D25=0,0,E25/D25))</x:f>
      </x:c>
      <x:c r="G25" s="8" t="str">
        <x:f>IF(A25="","",IF(F25&gt;10%,"Yes","No"))</x:f>
      </x:c>
      <x:c r="H25" s="8" t="str">
        <x:f>IF(A25="","",IF(OR(F25&gt;10%,C25="Subcontracting / delegation"),"Yes","No"))</x:f>
      </x:c>
      <x:c r="I25" s="8"/>
      <x:c r="J25" s="8"/>
      <x:c r="K25" s="8"/>
    </x:row>
    <x:row r="26">
      <x:c r="A26" s="8"/>
      <x:c r="B26" s="8"/>
      <x:c r="C26" s="8"/>
      <x:c r="D26" s="11"/>
      <x:c r="E26" s="11"/>
      <x:c r="F26" s="14" t="str">
        <x:f>IF(A26="","",IF(D26=0,0,E26/D26))</x:f>
      </x:c>
      <x:c r="G26" s="8" t="str">
        <x:f>IF(A26="","",IF(F26&gt;10%,"Yes","No"))</x:f>
      </x:c>
      <x:c r="H26" s="8" t="str">
        <x:f>IF(A26="","",IF(OR(F26&gt;10%,C26="Subcontracting / delegation"),"Yes","No"))</x:f>
      </x:c>
      <x:c r="I26" s="8"/>
      <x:c r="J26" s="8"/>
      <x:c r="K26" s="8"/>
    </x:row>
    <x:row r="27">
      <x:c r="A27" s="8"/>
      <x:c r="B27" s="8"/>
      <x:c r="C27" s="8"/>
      <x:c r="D27" s="11"/>
      <x:c r="E27" s="11"/>
      <x:c r="F27" s="14" t="str">
        <x:f>IF(A27="","",IF(D27=0,0,E27/D27))</x:f>
      </x:c>
      <x:c r="G27" s="8" t="str">
        <x:f>IF(A27="","",IF(F27&gt;10%,"Yes","No"))</x:f>
      </x:c>
      <x:c r="H27" s="8" t="str">
        <x:f>IF(A27="","",IF(OR(F27&gt;10%,C27="Subcontracting / delegation"),"Yes","No"))</x:f>
      </x:c>
      <x:c r="I27" s="8"/>
      <x:c r="J27" s="8"/>
      <x:c r="K27" s="8"/>
    </x:row>
    <x:row r="28">
      <x:c r="A28" s="8"/>
      <x:c r="B28" s="8"/>
      <x:c r="C28" s="8"/>
      <x:c r="D28" s="11"/>
      <x:c r="E28" s="11"/>
      <x:c r="F28" s="14" t="str">
        <x:f>IF(A28="","",IF(D28=0,0,E28/D28))</x:f>
      </x:c>
      <x:c r="G28" s="8" t="str">
        <x:f>IF(A28="","",IF(F28&gt;10%,"Yes","No"))</x:f>
      </x:c>
      <x:c r="H28" s="8" t="str">
        <x:f>IF(A28="","",IF(OR(F28&gt;10%,C28="Subcontracting / delegation"),"Yes","No"))</x:f>
      </x:c>
      <x:c r="I28" s="8"/>
      <x:c r="J28" s="8"/>
      <x:c r="K28" s="8"/>
    </x:row>
    <x:row r="29">
      <x:c r="A29" s="8"/>
      <x:c r="B29" s="8"/>
      <x:c r="C29" s="8"/>
      <x:c r="D29" s="11"/>
      <x:c r="E29" s="11"/>
      <x:c r="F29" s="14" t="str">
        <x:f>IF(A29="","",IF(D29=0,0,E29/D29))</x:f>
      </x:c>
      <x:c r="G29" s="8" t="str">
        <x:f>IF(A29="","",IF(F29&gt;10%,"Yes","No"))</x:f>
      </x:c>
      <x:c r="H29" s="8" t="str">
        <x:f>IF(A29="","",IF(OR(F29&gt;10%,C29="Subcontracting / delegation"),"Yes","No"))</x:f>
      </x:c>
      <x:c r="I29" s="8"/>
      <x:c r="J29" s="8"/>
      <x:c r="K29" s="8"/>
    </x:row>
    <x:row r="30">
      <x:c r="A30" s="8"/>
      <x:c r="B30" s="8"/>
      <x:c r="C30" s="8"/>
      <x:c r="D30" s="11"/>
      <x:c r="E30" s="11"/>
      <x:c r="F30" s="14" t="str">
        <x:f>IF(A30="","",IF(D30=0,0,E30/D30))</x:f>
      </x:c>
      <x:c r="G30" s="8" t="str">
        <x:f>IF(A30="","",IF(F30&gt;10%,"Yes","No"))</x:f>
      </x:c>
      <x:c r="H30" s="8" t="str">
        <x:f>IF(A30="","",IF(OR(F30&gt;10%,C30="Subcontracting / delegation"),"Yes","No"))</x:f>
      </x:c>
      <x:c r="I30" s="8"/>
      <x:c r="J30" s="8"/>
      <x:c r="K30" s="8"/>
    </x:row>
    <x:row r="31">
      <x:c r="A31" s="8"/>
      <x:c r="B31" s="8"/>
      <x:c r="C31" s="8"/>
      <x:c r="D31" s="11"/>
      <x:c r="E31" s="11"/>
      <x:c r="F31" s="14" t="str">
        <x:f>IF(A31="","",IF(D31=0,0,E31/D31))</x:f>
      </x:c>
      <x:c r="G31" s="8" t="str">
        <x:f>IF(A31="","",IF(F31&gt;10%,"Yes","No"))</x:f>
      </x:c>
      <x:c r="H31" s="8" t="str">
        <x:f>IF(A31="","",IF(OR(F31&gt;10%,C31="Subcontracting / delegation"),"Yes","No"))</x:f>
      </x:c>
      <x:c r="I31" s="8"/>
      <x:c r="J31" s="8"/>
      <x:c r="K31" s="8"/>
    </x:row>
    <x:row r="32">
      <x:c r="A32" s="8"/>
      <x:c r="B32" s="8"/>
      <x:c r="C32" s="8"/>
      <x:c r="D32" s="11"/>
      <x:c r="E32" s="11"/>
      <x:c r="F32" s="14" t="str">
        <x:f>IF(A32="","",IF(D32=0,0,E32/D32))</x:f>
      </x:c>
      <x:c r="G32" s="8" t="str">
        <x:f>IF(A32="","",IF(F32&gt;10%,"Yes","No"))</x:f>
      </x:c>
      <x:c r="H32" s="8" t="str">
        <x:f>IF(A32="","",IF(OR(F32&gt;10%,C32="Subcontracting / delegation"),"Yes","No"))</x:f>
      </x:c>
      <x:c r="I32" s="8"/>
      <x:c r="J32" s="8"/>
      <x:c r="K32" s="8"/>
    </x:row>
    <x:row r="33">
      <x:c r="A33" s="8"/>
      <x:c r="B33" s="8"/>
      <x:c r="C33" s="8"/>
      <x:c r="D33" s="11"/>
      <x:c r="E33" s="11"/>
      <x:c r="F33" s="14" t="str">
        <x:f>IF(A33="","",IF(D33=0,0,E33/D33))</x:f>
      </x:c>
      <x:c r="G33" s="8" t="str">
        <x:f>IF(A33="","",IF(F33&gt;10%,"Yes","No"))</x:f>
      </x:c>
      <x:c r="H33" s="8" t="str">
        <x:f>IF(A33="","",IF(OR(F33&gt;10%,C33="Subcontracting / delegation"),"Yes","No"))</x:f>
      </x:c>
      <x:c r="I33" s="8"/>
      <x:c r="J33" s="8"/>
      <x:c r="K33" s="8"/>
    </x:row>
    <x:row r="34">
      <x:c r="A34" s="8"/>
      <x:c r="B34" s="8"/>
      <x:c r="C34" s="8"/>
      <x:c r="D34" s="11"/>
      <x:c r="E34" s="11"/>
      <x:c r="F34" s="14" t="str">
        <x:f>IF(A34="","",IF(D34=0,0,E34/D34))</x:f>
      </x:c>
      <x:c r="G34" s="8" t="str">
        <x:f>IF(A34="","",IF(F34&gt;10%,"Yes","No"))</x:f>
      </x:c>
      <x:c r="H34" s="8" t="str">
        <x:f>IF(A34="","",IF(OR(F34&gt;10%,C34="Subcontracting / delegation"),"Yes","No"))</x:f>
      </x:c>
      <x:c r="I34" s="8"/>
      <x:c r="J34" s="8"/>
      <x:c r="K34" s="8"/>
    </x:row>
    <x:row r="35">
      <x:c r="A35" s="8"/>
      <x:c r="B35" s="8"/>
      <x:c r="C35" s="8"/>
      <x:c r="D35" s="11"/>
      <x:c r="E35" s="11"/>
      <x:c r="F35" s="14" t="str">
        <x:f>IF(A35="","",IF(D35=0,0,E35/D35))</x:f>
      </x:c>
      <x:c r="G35" s="8" t="str">
        <x:f>IF(A35="","",IF(F35&gt;10%,"Yes","No"))</x:f>
      </x:c>
      <x:c r="H35" s="8" t="str">
        <x:f>IF(A35="","",IF(OR(F35&gt;10%,C35="Subcontracting / delegation"),"Yes","No"))</x:f>
      </x:c>
      <x:c r="I35" s="8"/>
      <x:c r="J35" s="8"/>
      <x:c r="K35" s="8"/>
    </x:row>
    <x:row r="36">
      <x:c r="A36" s="8"/>
      <x:c r="B36" s="8"/>
      <x:c r="C36" s="8"/>
      <x:c r="D36" s="11"/>
      <x:c r="E36" s="11"/>
      <x:c r="F36" s="14" t="str">
        <x:f>IF(A36="","",IF(D36=0,0,E36/D36))</x:f>
      </x:c>
      <x:c r="G36" s="8" t="str">
        <x:f>IF(A36="","",IF(F36&gt;10%,"Yes","No"))</x:f>
      </x:c>
      <x:c r="H36" s="8" t="str">
        <x:f>IF(A36="","",IF(OR(F36&gt;10%,C36="Subcontracting / delegation"),"Yes","No"))</x:f>
      </x:c>
      <x:c r="I36" s="8"/>
      <x:c r="J36" s="8"/>
      <x:c r="K36" s="8"/>
    </x:row>
    <x:row r="37">
      <x:c r="A37" s="8"/>
      <x:c r="B37" s="8"/>
      <x:c r="C37" s="8"/>
      <x:c r="D37" s="11"/>
      <x:c r="E37" s="11"/>
      <x:c r="F37" s="14" t="str">
        <x:f>IF(A37="","",IF(D37=0,0,E37/D37))</x:f>
      </x:c>
      <x:c r="G37" s="8" t="str">
        <x:f>IF(A37="","",IF(F37&gt;10%,"Yes","No"))</x:f>
      </x:c>
      <x:c r="H37" s="8" t="str">
        <x:f>IF(A37="","",IF(OR(F37&gt;10%,C37="Subcontracting / delegation"),"Yes","No"))</x:f>
      </x:c>
      <x:c r="I37" s="8"/>
      <x:c r="J37" s="8"/>
      <x:c r="K37" s="8"/>
    </x:row>
    <x:row r="38">
      <x:c r="A38" s="8"/>
      <x:c r="B38" s="8"/>
      <x:c r="C38" s="8"/>
      <x:c r="D38" s="11"/>
      <x:c r="E38" s="11"/>
      <x:c r="F38" s="14" t="str">
        <x:f>IF(A38="","",IF(D38=0,0,E38/D38))</x:f>
      </x:c>
      <x:c r="G38" s="8" t="str">
        <x:f>IF(A38="","",IF(F38&gt;10%,"Yes","No"))</x:f>
      </x:c>
      <x:c r="H38" s="8" t="str">
        <x:f>IF(A38="","",IF(OR(F38&gt;10%,C38="Subcontracting / delegation"),"Yes","No"))</x:f>
      </x:c>
      <x:c r="I38" s="8"/>
      <x:c r="J38" s="8"/>
      <x:c r="K38" s="8"/>
    </x:row>
    <x:row r="39">
      <x:c r="A39" s="8"/>
      <x:c r="B39" s="8"/>
      <x:c r="C39" s="8"/>
      <x:c r="D39" s="11"/>
      <x:c r="E39" s="11"/>
      <x:c r="F39" s="14" t="str">
        <x:f>IF(A39="","",IF(D39=0,0,E39/D39))</x:f>
      </x:c>
      <x:c r="G39" s="8" t="str">
        <x:f>IF(A39="","",IF(F39&gt;10%,"Yes","No"))</x:f>
      </x:c>
      <x:c r="H39" s="8" t="str">
        <x:f>IF(A39="","",IF(OR(F39&gt;10%,C39="Subcontracting / delegation"),"Yes","No"))</x:f>
      </x:c>
      <x:c r="I39" s="8"/>
      <x:c r="J39" s="8"/>
      <x:c r="K39" s="8"/>
    </x:row>
    <x:row r="40">
      <x:c r="A40" s="8"/>
      <x:c r="B40" s="8"/>
      <x:c r="C40" s="8"/>
      <x:c r="D40" s="11"/>
      <x:c r="E40" s="11"/>
      <x:c r="F40" s="14" t="str">
        <x:f>IF(A40="","",IF(D40=0,0,E40/D40))</x:f>
      </x:c>
      <x:c r="G40" s="8" t="str">
        <x:f>IF(A40="","",IF(F40&gt;10%,"Yes","No"))</x:f>
      </x:c>
      <x:c r="H40" s="8" t="str">
        <x:f>IF(A40="","",IF(OR(F40&gt;10%,C40="Subcontracting / delegation"),"Yes","No"))</x:f>
      </x:c>
      <x:c r="I40" s="8"/>
      <x:c r="J40" s="8"/>
      <x:c r="K40" s="8"/>
    </x:row>
    <x:row r="41">
      <x:c r="A41" s="8"/>
      <x:c r="B41" s="8"/>
      <x:c r="C41" s="8"/>
      <x:c r="D41" s="11"/>
      <x:c r="E41" s="11"/>
      <x:c r="F41" s="14" t="str">
        <x:f>IF(A41="","",IF(D41=0,0,E41/D41))</x:f>
      </x:c>
      <x:c r="G41" s="8" t="str">
        <x:f>IF(A41="","",IF(F41&gt;10%,"Yes","No"))</x:f>
      </x:c>
      <x:c r="H41" s="8" t="str">
        <x:f>IF(A41="","",IF(OR(F41&gt;10%,C41="Subcontracting / delegation"),"Yes","No"))</x:f>
      </x:c>
      <x:c r="I41" s="8"/>
      <x:c r="J41" s="8"/>
      <x:c r="K41" s="8"/>
    </x:row>
    <x:row r="42">
      <x:c r="A42" s="8"/>
      <x:c r="B42" s="8"/>
      <x:c r="C42" s="8"/>
      <x:c r="D42" s="11"/>
      <x:c r="E42" s="11"/>
      <x:c r="F42" s="14" t="str">
        <x:f>IF(A42="","",IF(D42=0,0,E42/D42))</x:f>
      </x:c>
      <x:c r="G42" s="8" t="str">
        <x:f>IF(A42="","",IF(F42&gt;10%,"Yes","No"))</x:f>
      </x:c>
      <x:c r="H42" s="8" t="str">
        <x:f>IF(A42="","",IF(OR(F42&gt;10%,C42="Subcontracting / delegation"),"Yes","No"))</x:f>
      </x:c>
      <x:c r="I42" s="8"/>
      <x:c r="J42" s="8"/>
      <x:c r="K42" s="8"/>
    </x:row>
    <x:row r="43">
      <x:c r="A43" s="8"/>
      <x:c r="B43" s="8"/>
      <x:c r="C43" s="8"/>
      <x:c r="D43" s="11"/>
      <x:c r="E43" s="11"/>
      <x:c r="F43" s="14" t="str">
        <x:f>IF(A43="","",IF(D43=0,0,E43/D43))</x:f>
      </x:c>
      <x:c r="G43" s="8" t="str">
        <x:f>IF(A43="","",IF(F43&gt;10%,"Yes","No"))</x:f>
      </x:c>
      <x:c r="H43" s="8" t="str">
        <x:f>IF(A43="","",IF(OR(F43&gt;10%,C43="Subcontracting / delegation"),"Yes","No"))</x:f>
      </x:c>
      <x:c r="I43" s="8"/>
      <x:c r="J43" s="8"/>
      <x:c r="K43" s="8"/>
    </x:row>
    <x:row r="44">
      <x:c r="A44" s="8"/>
      <x:c r="B44" s="8"/>
      <x:c r="C44" s="8"/>
      <x:c r="D44" s="11"/>
      <x:c r="E44" s="11"/>
      <x:c r="F44" s="14" t="str">
        <x:f>IF(A44="","",IF(D44=0,0,E44/D44))</x:f>
      </x:c>
      <x:c r="G44" s="8" t="str">
        <x:f>IF(A44="","",IF(F44&gt;10%,"Yes","No"))</x:f>
      </x:c>
      <x:c r="H44" s="8" t="str">
        <x:f>IF(A44="","",IF(OR(F44&gt;10%,C44="Subcontracting / delegation"),"Yes","No"))</x:f>
      </x:c>
      <x:c r="I44" s="8"/>
      <x:c r="J44" s="8"/>
      <x:c r="K44" s="8"/>
    </x:row>
    <x:row r="45">
      <x:c r="A45" s="8"/>
      <x:c r="B45" s="8"/>
      <x:c r="C45" s="8"/>
      <x:c r="D45" s="11"/>
      <x:c r="E45" s="11"/>
      <x:c r="F45" s="14" t="str">
        <x:f>IF(A45="","",IF(D45=0,0,E45/D45))</x:f>
      </x:c>
      <x:c r="G45" s="8" t="str">
        <x:f>IF(A45="","",IF(F45&gt;10%,"Yes","No"))</x:f>
      </x:c>
      <x:c r="H45" s="8" t="str">
        <x:f>IF(A45="","",IF(OR(F45&gt;10%,C45="Subcontracting / delegation"),"Yes","No"))</x:f>
      </x:c>
      <x:c r="I45" s="8"/>
      <x:c r="J45" s="8"/>
      <x:c r="K45" s="8"/>
    </x:row>
    <x:row r="46">
      <x:c r="A46" s="8"/>
      <x:c r="B46" s="8"/>
      <x:c r="C46" s="8"/>
      <x:c r="D46" s="11"/>
      <x:c r="E46" s="11"/>
      <x:c r="F46" s="14" t="str">
        <x:f>IF(A46="","",IF(D46=0,0,E46/D46))</x:f>
      </x:c>
      <x:c r="G46" s="8" t="str">
        <x:f>IF(A46="","",IF(F46&gt;10%,"Yes","No"))</x:f>
      </x:c>
      <x:c r="H46" s="8" t="str">
        <x:f>IF(A46="","",IF(OR(F46&gt;10%,C46="Subcontracting / delegation"),"Yes","No"))</x:f>
      </x:c>
      <x:c r="I46" s="8"/>
      <x:c r="J46" s="8"/>
      <x:c r="K46" s="8"/>
    </x:row>
    <x:row r="47">
      <x:c r="A47" s="8"/>
      <x:c r="B47" s="8"/>
      <x:c r="C47" s="8"/>
      <x:c r="D47" s="11"/>
      <x:c r="E47" s="11"/>
      <x:c r="F47" s="14" t="str">
        <x:f>IF(A47="","",IF(D47=0,0,E47/D47))</x:f>
      </x:c>
      <x:c r="G47" s="8" t="str">
        <x:f>IF(A47="","",IF(F47&gt;10%,"Yes","No"))</x:f>
      </x:c>
      <x:c r="H47" s="8" t="str">
        <x:f>IF(A47="","",IF(OR(F47&gt;10%,C47="Subcontracting / delegation"),"Yes","No"))</x:f>
      </x:c>
      <x:c r="I47" s="8"/>
      <x:c r="J47" s="8"/>
      <x:c r="K47" s="8"/>
    </x:row>
    <x:row r="48">
      <x:c r="A48" s="8"/>
      <x:c r="B48" s="8"/>
      <x:c r="C48" s="8"/>
      <x:c r="D48" s="11"/>
      <x:c r="E48" s="11"/>
      <x:c r="F48" s="14" t="str">
        <x:f>IF(A48="","",IF(D48=0,0,E48/D48))</x:f>
      </x:c>
      <x:c r="G48" s="8" t="str">
        <x:f>IF(A48="","",IF(F48&gt;10%,"Yes","No"))</x:f>
      </x:c>
      <x:c r="H48" s="8" t="str">
        <x:f>IF(A48="","",IF(OR(F48&gt;10%,C48="Subcontracting / delegation"),"Yes","No"))</x:f>
      </x:c>
      <x:c r="I48" s="8"/>
      <x:c r="J48" s="8"/>
      <x:c r="K48" s="8"/>
    </x:row>
    <x:row r="49">
      <x:c r="A49" s="8"/>
      <x:c r="B49" s="8"/>
      <x:c r="C49" s="8"/>
      <x:c r="D49" s="11"/>
      <x:c r="E49" s="11"/>
      <x:c r="F49" s="14" t="str">
        <x:f>IF(A49="","",IF(D49=0,0,E49/D49))</x:f>
      </x:c>
      <x:c r="G49" s="8" t="str">
        <x:f>IF(A49="","",IF(F49&gt;10%,"Yes","No"))</x:f>
      </x:c>
      <x:c r="H49" s="8" t="str">
        <x:f>IF(A49="","",IF(OR(F49&gt;10%,C49="Subcontracting / delegation"),"Yes","No"))</x:f>
      </x:c>
      <x:c r="I49" s="8"/>
      <x:c r="J49" s="8"/>
      <x:c r="K49" s="8"/>
    </x:row>
    <x:row r="50">
      <x:c r="A50" s="8"/>
      <x:c r="B50" s="8"/>
      <x:c r="C50" s="8"/>
      <x:c r="D50" s="11"/>
      <x:c r="E50" s="11"/>
      <x:c r="F50" s="14" t="str">
        <x:f>IF(A50="","",IF(D50=0,0,E50/D50))</x:f>
      </x:c>
      <x:c r="G50" s="8" t="str">
        <x:f>IF(A50="","",IF(F50&gt;10%,"Yes","No"))</x:f>
      </x:c>
      <x:c r="H50" s="8" t="str">
        <x:f>IF(A50="","",IF(OR(F50&gt;10%,C50="Subcontracting / delegation"),"Yes","No"))</x:f>
      </x:c>
      <x:c r="I50" s="8"/>
      <x:c r="J50" s="8"/>
      <x:c r="K50" s="8"/>
    </x:row>
    <x:row r="51">
      <x:c r="A51" s="8"/>
      <x:c r="B51" s="8"/>
      <x:c r="C51" s="8"/>
      <x:c r="D51" s="11"/>
      <x:c r="E51" s="11"/>
      <x:c r="F51" s="14" t="str">
        <x:f>IF(A51="","",IF(D51=0,0,E51/D51))</x:f>
      </x:c>
      <x:c r="G51" s="8" t="str">
        <x:f>IF(A51="","",IF(F51&gt;10%,"Yes","No"))</x:f>
      </x:c>
      <x:c r="H51" s="8" t="str">
        <x:f>IF(A51="","",IF(OR(F51&gt;10%,C51="Subcontracting / delegation"),"Yes","No"))</x:f>
      </x:c>
      <x:c r="I51" s="8"/>
      <x:c r="J51" s="8"/>
      <x:c r="K51" s="8"/>
    </x:row>
    <x:row r="52">
      <x:c r="A52" s="8"/>
      <x:c r="B52" s="8"/>
      <x:c r="C52" s="8"/>
      <x:c r="D52" s="11"/>
      <x:c r="E52" s="11"/>
      <x:c r="F52" s="14" t="str">
        <x:f>IF(A52="","",IF(D52=0,0,E52/D52))</x:f>
      </x:c>
      <x:c r="G52" s="8" t="str">
        <x:f>IF(A52="","",IF(F52&gt;10%,"Yes","No"))</x:f>
      </x:c>
      <x:c r="H52" s="8" t="str">
        <x:f>IF(A52="","",IF(OR(F52&gt;10%,C52="Subcontracting / delegation"),"Yes","No"))</x:f>
      </x:c>
      <x:c r="I52" s="8"/>
      <x:c r="J52" s="8"/>
      <x:c r="K52" s="8"/>
    </x:row>
    <x:row r="53">
      <x:c r="A53" s="8"/>
      <x:c r="B53" s="8"/>
      <x:c r="C53" s="8"/>
      <x:c r="D53" s="11"/>
      <x:c r="E53" s="11"/>
      <x:c r="F53" s="14" t="str">
        <x:f>IF(A53="","",IF(D53=0,0,E53/D53))</x:f>
      </x:c>
      <x:c r="G53" s="8" t="str">
        <x:f>IF(A53="","",IF(F53&gt;10%,"Yes","No"))</x:f>
      </x:c>
      <x:c r="H53" s="8" t="str">
        <x:f>IF(A53="","",IF(OR(F53&gt;10%,C53="Subcontracting / delegation"),"Yes","No"))</x:f>
      </x:c>
      <x:c r="I53" s="8"/>
      <x:c r="J53" s="8"/>
      <x:c r="K53" s="8"/>
    </x:row>
    <x:row r="54">
      <x:c r="A54" s="8"/>
      <x:c r="B54" s="8"/>
      <x:c r="C54" s="8"/>
      <x:c r="D54" s="11"/>
      <x:c r="E54" s="11"/>
      <x:c r="F54" s="14" t="str">
        <x:f>IF(A54="","",IF(D54=0,0,E54/D54))</x:f>
      </x:c>
      <x:c r="G54" s="8" t="str">
        <x:f>IF(A54="","",IF(F54&gt;10%,"Yes","No"))</x:f>
      </x:c>
      <x:c r="H54" s="8" t="str">
        <x:f>IF(A54="","",IF(OR(F54&gt;10%,C54="Subcontracting / delegation"),"Yes","No"))</x:f>
      </x:c>
      <x:c r="I54" s="8"/>
      <x:c r="J54" s="8"/>
      <x:c r="K54" s="8"/>
    </x:row>
    <x:row r="55">
      <x:c r="A55" s="8"/>
      <x:c r="B55" s="8"/>
      <x:c r="C55" s="8"/>
      <x:c r="D55" s="11"/>
      <x:c r="E55" s="11"/>
      <x:c r="F55" s="14" t="str">
        <x:f>IF(A55="","",IF(D55=0,0,E55/D55))</x:f>
      </x:c>
      <x:c r="G55" s="8" t="str">
        <x:f>IF(A55="","",IF(F55&gt;10%,"Yes","No"))</x:f>
      </x:c>
      <x:c r="H55" s="8" t="str">
        <x:f>IF(A55="","",IF(OR(F55&gt;10%,C55="Subcontracting / delegation"),"Yes","No"))</x:f>
      </x:c>
      <x:c r="I55" s="8"/>
      <x:c r="J55" s="8"/>
      <x:c r="K55" s="8"/>
    </x:row>
    <x:row r="56">
      <x:c r="A56" s="8"/>
      <x:c r="B56" s="8"/>
      <x:c r="C56" s="8"/>
      <x:c r="D56" s="11"/>
      <x:c r="E56" s="11"/>
      <x:c r="F56" s="14" t="str">
        <x:f>IF(A56="","",IF(D56=0,0,E56/D56))</x:f>
      </x:c>
      <x:c r="G56" s="8" t="str">
        <x:f>IF(A56="","",IF(F56&gt;10%,"Yes","No"))</x:f>
      </x:c>
      <x:c r="H56" s="8" t="str">
        <x:f>IF(A56="","",IF(OR(F56&gt;10%,C56="Subcontracting / delegation"),"Yes","No"))</x:f>
      </x:c>
      <x:c r="I56" s="8"/>
      <x:c r="J56" s="8"/>
      <x:c r="K56" s="8"/>
    </x:row>
    <x:row r="57">
      <x:c r="A57" s="8"/>
      <x:c r="B57" s="8"/>
      <x:c r="C57" s="8"/>
      <x:c r="D57" s="11"/>
      <x:c r="E57" s="11"/>
      <x:c r="F57" s="14" t="str">
        <x:f>IF(A57="","",IF(D57=0,0,E57/D57))</x:f>
      </x:c>
      <x:c r="G57" s="8" t="str">
        <x:f>IF(A57="","",IF(F57&gt;10%,"Yes","No"))</x:f>
      </x:c>
      <x:c r="H57" s="8" t="str">
        <x:f>IF(A57="","",IF(OR(F57&gt;10%,C57="Subcontracting / delegation"),"Yes","No"))</x:f>
      </x:c>
      <x:c r="I57" s="8"/>
      <x:c r="J57" s="8"/>
      <x:c r="K57" s="8"/>
    </x:row>
    <x:row r="58">
      <x:c r="A58" s="8"/>
      <x:c r="B58" s="8"/>
      <x:c r="C58" s="8"/>
      <x:c r="D58" s="11"/>
      <x:c r="E58" s="11"/>
      <x:c r="F58" s="14" t="str">
        <x:f>IF(A58="","",IF(D58=0,0,E58/D58))</x:f>
      </x:c>
      <x:c r="G58" s="8" t="str">
        <x:f>IF(A58="","",IF(F58&gt;10%,"Yes","No"))</x:f>
      </x:c>
      <x:c r="H58" s="8" t="str">
        <x:f>IF(A58="","",IF(OR(F58&gt;10%,C58="Subcontracting / delegation"),"Yes","No"))</x:f>
      </x:c>
      <x:c r="I58" s="8"/>
      <x:c r="J58" s="8"/>
      <x:c r="K58" s="8"/>
    </x:row>
    <x:row r="59">
      <x:c r="A59" s="8"/>
      <x:c r="B59" s="8"/>
      <x:c r="C59" s="8"/>
      <x:c r="D59" s="11"/>
      <x:c r="E59" s="11"/>
      <x:c r="F59" s="14" t="str">
        <x:f>IF(A59="","",IF(D59=0,0,E59/D59))</x:f>
      </x:c>
      <x:c r="G59" s="8" t="str">
        <x:f>IF(A59="","",IF(F59&gt;10%,"Yes","No"))</x:f>
      </x:c>
      <x:c r="H59" s="8" t="str">
        <x:f>IF(A59="","",IF(OR(F59&gt;10%,C59="Subcontracting / delegation"),"Yes","No"))</x:f>
      </x:c>
      <x:c r="I59" s="8"/>
      <x:c r="J59" s="8"/>
      <x:c r="K59" s="8"/>
    </x:row>
    <x:row r="60">
      <x:c r="A60" s="8"/>
      <x:c r="B60" s="8"/>
      <x:c r="C60" s="8"/>
      <x:c r="D60" s="11"/>
      <x:c r="E60" s="11"/>
      <x:c r="F60" s="14" t="str">
        <x:f>IF(A60="","",IF(D60=0,0,E60/D60))</x:f>
      </x:c>
      <x:c r="G60" s="8" t="str">
        <x:f>IF(A60="","",IF(F60&gt;10%,"Yes","No"))</x:f>
      </x:c>
      <x:c r="H60" s="8" t="str">
        <x:f>IF(A60="","",IF(OR(F60&gt;10%,C60="Subcontracting / delegation"),"Yes","No"))</x:f>
      </x:c>
      <x:c r="I60" s="8"/>
      <x:c r="J60" s="8"/>
      <x:c r="K60" s="8"/>
    </x:row>
    <x:row r="61">
      <x:c r="A61" s="8"/>
      <x:c r="B61" s="8"/>
      <x:c r="C61" s="8"/>
      <x:c r="D61" s="11"/>
      <x:c r="E61" s="11"/>
      <x:c r="F61" s="14" t="str">
        <x:f>IF(A61="","",IF(D61=0,0,E61/D61))</x:f>
      </x:c>
      <x:c r="G61" s="8" t="str">
        <x:f>IF(A61="","",IF(F61&gt;10%,"Yes","No"))</x:f>
      </x:c>
      <x:c r="H61" s="8" t="str">
        <x:f>IF(A61="","",IF(OR(F61&gt;10%,C61="Subcontracting / delegation"),"Yes","No"))</x:f>
      </x:c>
      <x:c r="I61" s="8"/>
      <x:c r="J61" s="8"/>
      <x:c r="K61" s="8"/>
    </x:row>
    <x:row r="62">
      <x:c r="A62" s="8"/>
      <x:c r="B62" s="8"/>
      <x:c r="C62" s="8"/>
      <x:c r="D62" s="11"/>
      <x:c r="E62" s="11"/>
      <x:c r="F62" s="14" t="str">
        <x:f>IF(A62="","",IF(D62=0,0,E62/D62))</x:f>
      </x:c>
      <x:c r="G62" s="8" t="str">
        <x:f>IF(A62="","",IF(F62&gt;10%,"Yes","No"))</x:f>
      </x:c>
      <x:c r="H62" s="8" t="str">
        <x:f>IF(A62="","",IF(OR(F62&gt;10%,C62="Subcontracting / delegation"),"Yes","No"))</x:f>
      </x:c>
      <x:c r="I62" s="8"/>
      <x:c r="J62" s="8"/>
      <x:c r="K62" s="8"/>
    </x:row>
    <x:row r="63">
      <x:c r="A63" s="8"/>
      <x:c r="B63" s="8"/>
      <x:c r="C63" s="8"/>
      <x:c r="D63" s="11"/>
      <x:c r="E63" s="11"/>
      <x:c r="F63" s="14" t="str">
        <x:f>IF(A63="","",IF(D63=0,0,E63/D63))</x:f>
      </x:c>
      <x:c r="G63" s="8" t="str">
        <x:f>IF(A63="","",IF(F63&gt;10%,"Yes","No"))</x:f>
      </x:c>
      <x:c r="H63" s="8" t="str">
        <x:f>IF(A63="","",IF(OR(F63&gt;10%,C63="Subcontracting / delegation"),"Yes","No"))</x:f>
      </x:c>
      <x:c r="I63" s="8"/>
      <x:c r="J63" s="8"/>
      <x:c r="K63" s="8"/>
    </x:row>
    <x:row r="64">
      <x:c r="A64" s="8"/>
      <x:c r="B64" s="8"/>
      <x:c r="C64" s="8"/>
      <x:c r="D64" s="11"/>
      <x:c r="E64" s="11"/>
      <x:c r="F64" s="14" t="str">
        <x:f>IF(A64="","",IF(D64=0,0,E64/D64))</x:f>
      </x:c>
      <x:c r="G64" s="8" t="str">
        <x:f>IF(A64="","",IF(F64&gt;10%,"Yes","No"))</x:f>
      </x:c>
      <x:c r="H64" s="8" t="str">
        <x:f>IF(A64="","",IF(OR(F64&gt;10%,C64="Subcontracting / delegation"),"Yes","No"))</x:f>
      </x:c>
      <x:c r="I64" s="8"/>
      <x:c r="J64" s="8"/>
      <x:c r="K64" s="8"/>
    </x:row>
    <x:row r="65">
      <x:c r="A65" s="8"/>
      <x:c r="B65" s="8"/>
      <x:c r="C65" s="8"/>
      <x:c r="D65" s="11"/>
      <x:c r="E65" s="11"/>
      <x:c r="F65" s="14" t="str">
        <x:f>IF(A65="","",IF(D65=0,0,E65/D65))</x:f>
      </x:c>
      <x:c r="G65" s="8" t="str">
        <x:f>IF(A65="","",IF(F65&gt;10%,"Yes","No"))</x:f>
      </x:c>
      <x:c r="H65" s="8" t="str">
        <x:f>IF(A65="","",IF(OR(F65&gt;10%,C65="Subcontracting / delegation"),"Yes","No"))</x:f>
      </x:c>
      <x:c r="I65" s="8"/>
      <x:c r="J65" s="8"/>
      <x:c r="K65" s="8"/>
    </x:row>
    <x:row r="66">
      <x:c r="A66" s="8"/>
      <x:c r="B66" s="8"/>
      <x:c r="C66" s="8"/>
      <x:c r="D66" s="11"/>
      <x:c r="E66" s="11"/>
      <x:c r="F66" s="14" t="str">
        <x:f>IF(A66="","",IF(D66=0,0,E66/D66))</x:f>
      </x:c>
      <x:c r="G66" s="8" t="str">
        <x:f>IF(A66="","",IF(F66&gt;10%,"Yes","No"))</x:f>
      </x:c>
      <x:c r="H66" s="8" t="str">
        <x:f>IF(A66="","",IF(OR(F66&gt;10%,C66="Subcontracting / delegation"),"Yes","No"))</x:f>
      </x:c>
      <x:c r="I66" s="8"/>
      <x:c r="J66" s="8"/>
      <x:c r="K66" s="8"/>
    </x:row>
    <x:row r="67">
      <x:c r="A67" s="8"/>
      <x:c r="B67" s="8"/>
      <x:c r="C67" s="8"/>
      <x:c r="D67" s="11"/>
      <x:c r="E67" s="11"/>
      <x:c r="F67" s="14" t="str">
        <x:f>IF(A67="","",IF(D67=0,0,E67/D67))</x:f>
      </x:c>
      <x:c r="G67" s="8" t="str">
        <x:f>IF(A67="","",IF(F67&gt;10%,"Yes","No"))</x:f>
      </x:c>
      <x:c r="H67" s="8" t="str">
        <x:f>IF(A67="","",IF(OR(F67&gt;10%,C67="Subcontracting / delegation"),"Yes","No"))</x:f>
      </x:c>
      <x:c r="I67" s="8"/>
      <x:c r="J67" s="8"/>
      <x:c r="K67" s="8"/>
    </x:row>
    <x:row r="68">
      <x:c r="A68" s="8"/>
      <x:c r="B68" s="8"/>
      <x:c r="C68" s="8"/>
      <x:c r="D68" s="11"/>
      <x:c r="E68" s="11"/>
      <x:c r="F68" s="14" t="str">
        <x:f>IF(A68="","",IF(D68=0,0,E68/D68))</x:f>
      </x:c>
      <x:c r="G68" s="8" t="str">
        <x:f>IF(A68="","",IF(F68&gt;10%,"Yes","No"))</x:f>
      </x:c>
      <x:c r="H68" s="8" t="str">
        <x:f>IF(A68="","",IF(OR(F68&gt;10%,C68="Subcontracting / delegation"),"Yes","No"))</x:f>
      </x:c>
      <x:c r="I68" s="8"/>
      <x:c r="J68" s="8"/>
      <x:c r="K68" s="8"/>
    </x:row>
    <x:row r="69">
      <x:c r="A69" s="8"/>
      <x:c r="B69" s="8"/>
      <x:c r="C69" s="8"/>
      <x:c r="D69" s="11"/>
      <x:c r="E69" s="11"/>
      <x:c r="F69" s="14" t="str">
        <x:f>IF(A69="","",IF(D69=0,0,E69/D69))</x:f>
      </x:c>
      <x:c r="G69" s="8" t="str">
        <x:f>IF(A69="","",IF(F69&gt;10%,"Yes","No"))</x:f>
      </x:c>
      <x:c r="H69" s="8" t="str">
        <x:f>IF(A69="","",IF(OR(F69&gt;10%,C69="Subcontracting / delegation"),"Yes","No"))</x:f>
      </x:c>
      <x:c r="I69" s="8"/>
      <x:c r="J69" s="8"/>
      <x:c r="K69" s="8"/>
    </x:row>
    <x:row r="70">
      <x:c r="A70" s="8"/>
      <x:c r="B70" s="8"/>
      <x:c r="C70" s="8"/>
      <x:c r="D70" s="11"/>
      <x:c r="E70" s="11"/>
      <x:c r="F70" s="14" t="str">
        <x:f>IF(A70="","",IF(D70=0,0,E70/D70))</x:f>
      </x:c>
      <x:c r="G70" s="8" t="str">
        <x:f>IF(A70="","",IF(F70&gt;10%,"Yes","No"))</x:f>
      </x:c>
      <x:c r="H70" s="8" t="str">
        <x:f>IF(A70="","",IF(OR(F70&gt;10%,C70="Subcontracting / delegation"),"Yes","No"))</x:f>
      </x:c>
      <x:c r="I70" s="8"/>
      <x:c r="J70" s="8"/>
      <x:c r="K70" s="8"/>
    </x:row>
    <x:row r="71">
      <x:c r="A71" s="8"/>
      <x:c r="B71" s="8"/>
      <x:c r="C71" s="8"/>
      <x:c r="D71" s="11"/>
      <x:c r="E71" s="11"/>
      <x:c r="F71" s="14" t="str">
        <x:f>IF(A71="","",IF(D71=0,0,E71/D71))</x:f>
      </x:c>
      <x:c r="G71" s="8" t="str">
        <x:f>IF(A71="","",IF(F71&gt;10%,"Yes","No"))</x:f>
      </x:c>
      <x:c r="H71" s="8" t="str">
        <x:f>IF(A71="","",IF(OR(F71&gt;10%,C71="Subcontracting / delegation"),"Yes","No"))</x:f>
      </x:c>
      <x:c r="I71" s="8"/>
      <x:c r="J71" s="8"/>
      <x:c r="K71" s="8"/>
    </x:row>
    <x:row r="72">
      <x:c r="A72" s="8"/>
      <x:c r="B72" s="8"/>
      <x:c r="C72" s="8"/>
      <x:c r="D72" s="11"/>
      <x:c r="E72" s="11"/>
      <x:c r="F72" s="14" t="str">
        <x:f>IF(A72="","",IF(D72=0,0,E72/D72))</x:f>
      </x:c>
      <x:c r="G72" s="8" t="str">
        <x:f>IF(A72="","",IF(F72&gt;10%,"Yes","No"))</x:f>
      </x:c>
      <x:c r="H72" s="8" t="str">
        <x:f>IF(A72="","",IF(OR(F72&gt;10%,C72="Subcontracting / delegation"),"Yes","No"))</x:f>
      </x:c>
      <x:c r="I72" s="8"/>
      <x:c r="J72" s="8"/>
      <x:c r="K72" s="8"/>
    </x:row>
    <x:row r="73">
      <x:c r="A73" s="8"/>
      <x:c r="B73" s="8"/>
      <x:c r="C73" s="8"/>
      <x:c r="D73" s="11"/>
      <x:c r="E73" s="11"/>
      <x:c r="F73" s="14" t="str">
        <x:f>IF(A73="","",IF(D73=0,0,E73/D73))</x:f>
      </x:c>
      <x:c r="G73" s="8" t="str">
        <x:f>IF(A73="","",IF(F73&gt;10%,"Yes","No"))</x:f>
      </x:c>
      <x:c r="H73" s="8" t="str">
        <x:f>IF(A73="","",IF(OR(F73&gt;10%,C73="Subcontracting / delegation"),"Yes","No"))</x:f>
      </x:c>
      <x:c r="I73" s="8"/>
      <x:c r="J73" s="8"/>
      <x:c r="K73" s="8"/>
    </x:row>
    <x:row r="74">
      <x:c r="A74" s="8"/>
      <x:c r="B74" s="8"/>
      <x:c r="C74" s="8"/>
      <x:c r="D74" s="11"/>
      <x:c r="E74" s="11"/>
      <x:c r="F74" s="14" t="str">
        <x:f>IF(A74="","",IF(D74=0,0,E74/D74))</x:f>
      </x:c>
      <x:c r="G74" s="8" t="str">
        <x:f>IF(A74="","",IF(F74&gt;10%,"Yes","No"))</x:f>
      </x:c>
      <x:c r="H74" s="8" t="str">
        <x:f>IF(A74="","",IF(OR(F74&gt;10%,C74="Subcontracting / delegation"),"Yes","No"))</x:f>
      </x:c>
      <x:c r="I74" s="8"/>
      <x:c r="J74" s="8"/>
      <x:c r="K74" s="8"/>
    </x:row>
    <x:row r="75">
      <x:c r="A75" s="8"/>
      <x:c r="B75" s="8"/>
      <x:c r="C75" s="8"/>
      <x:c r="D75" s="11"/>
      <x:c r="E75" s="11"/>
      <x:c r="F75" s="14" t="str">
        <x:f>IF(A75="","",IF(D75=0,0,E75/D75))</x:f>
      </x:c>
      <x:c r="G75" s="8" t="str">
        <x:f>IF(A75="","",IF(F75&gt;10%,"Yes","No"))</x:f>
      </x:c>
      <x:c r="H75" s="8" t="str">
        <x:f>IF(A75="","",IF(OR(F75&gt;10%,C75="Subcontracting / delegation"),"Yes","No"))</x:f>
      </x:c>
      <x:c r="I75" s="8"/>
      <x:c r="J75" s="8"/>
      <x:c r="K75" s="8"/>
    </x:row>
    <x:row r="76">
      <x:c r="A76" s="8"/>
      <x:c r="B76" s="8"/>
      <x:c r="C76" s="8"/>
      <x:c r="D76" s="11"/>
      <x:c r="E76" s="11"/>
      <x:c r="F76" s="14" t="str">
        <x:f>IF(A76="","",IF(D76=0,0,E76/D76))</x:f>
      </x:c>
      <x:c r="G76" s="8" t="str">
        <x:f>IF(A76="","",IF(F76&gt;10%,"Yes","No"))</x:f>
      </x:c>
      <x:c r="H76" s="8" t="str">
        <x:f>IF(A76="","",IF(OR(F76&gt;10%,C76="Subcontracting / delegation"),"Yes","No"))</x:f>
      </x:c>
      <x:c r="I76" s="8"/>
      <x:c r="J76" s="8"/>
      <x:c r="K76" s="8"/>
    </x:row>
    <x:row r="77">
      <x:c r="A77" s="8"/>
      <x:c r="B77" s="8"/>
      <x:c r="C77" s="8"/>
      <x:c r="D77" s="11"/>
      <x:c r="E77" s="11"/>
      <x:c r="F77" s="14" t="str">
        <x:f>IF(A77="","",IF(D77=0,0,E77/D77))</x:f>
      </x:c>
      <x:c r="G77" s="8" t="str">
        <x:f>IF(A77="","",IF(F77&gt;10%,"Yes","No"))</x:f>
      </x:c>
      <x:c r="H77" s="8" t="str">
        <x:f>IF(A77="","",IF(OR(F77&gt;10%,C77="Subcontracting / delegation"),"Yes","No"))</x:f>
      </x:c>
      <x:c r="I77" s="8"/>
      <x:c r="J77" s="8"/>
      <x:c r="K77" s="8"/>
    </x:row>
    <x:row r="78">
      <x:c r="A78" s="8"/>
      <x:c r="B78" s="8"/>
      <x:c r="C78" s="8"/>
      <x:c r="D78" s="11"/>
      <x:c r="E78" s="11"/>
      <x:c r="F78" s="14" t="str">
        <x:f>IF(A78="","",IF(D78=0,0,E78/D78))</x:f>
      </x:c>
      <x:c r="G78" s="8" t="str">
        <x:f>IF(A78="","",IF(F78&gt;10%,"Yes","No"))</x:f>
      </x:c>
      <x:c r="H78" s="8" t="str">
        <x:f>IF(A78="","",IF(OR(F78&gt;10%,C78="Subcontracting / delegation"),"Yes","No"))</x:f>
      </x:c>
      <x:c r="I78" s="8"/>
      <x:c r="J78" s="8"/>
      <x:c r="K78" s="8"/>
    </x:row>
    <x:row r="79">
      <x:c r="A79" s="8"/>
      <x:c r="B79" s="8"/>
      <x:c r="C79" s="8"/>
      <x:c r="D79" s="11"/>
      <x:c r="E79" s="11"/>
      <x:c r="F79" s="14" t="str">
        <x:f>IF(A79="","",IF(D79=0,0,E79/D79))</x:f>
      </x:c>
      <x:c r="G79" s="8" t="str">
        <x:f>IF(A79="","",IF(F79&gt;10%,"Yes","No"))</x:f>
      </x:c>
      <x:c r="H79" s="8" t="str">
        <x:f>IF(A79="","",IF(OR(F79&gt;10%,C79="Subcontracting / delegation"),"Yes","No"))</x:f>
      </x:c>
      <x:c r="I79" s="8"/>
      <x:c r="J79" s="8"/>
      <x:c r="K79" s="8"/>
    </x:row>
    <x:row r="80">
      <x:c r="A80" s="8"/>
      <x:c r="B80" s="8"/>
      <x:c r="C80" s="8"/>
      <x:c r="D80" s="11"/>
      <x:c r="E80" s="11"/>
      <x:c r="F80" s="14" t="str">
        <x:f>IF(A80="","",IF(D80=0,0,E80/D80))</x:f>
      </x:c>
      <x:c r="G80" s="8" t="str">
        <x:f>IF(A80="","",IF(F80&gt;10%,"Yes","No"))</x:f>
      </x:c>
      <x:c r="H80" s="8" t="str">
        <x:f>IF(A80="","",IF(OR(F80&gt;10%,C80="Subcontracting / delegation"),"Yes","No"))</x:f>
      </x:c>
      <x:c r="I80" s="8"/>
      <x:c r="J80" s="8"/>
      <x:c r="K80" s="8"/>
    </x:row>
    <x:row r="81">
      <x:c r="A81" s="8"/>
      <x:c r="B81" s="8"/>
      <x:c r="C81" s="8"/>
      <x:c r="D81" s="11"/>
      <x:c r="E81" s="11"/>
      <x:c r="F81" s="14" t="str">
        <x:f>IF(A81="","",IF(D81=0,0,E81/D81))</x:f>
      </x:c>
      <x:c r="G81" s="8" t="str">
        <x:f>IF(A81="","",IF(F81&gt;10%,"Yes","No"))</x:f>
      </x:c>
      <x:c r="H81" s="8" t="str">
        <x:f>IF(A81="","",IF(OR(F81&gt;10%,C81="Subcontracting / delegation"),"Yes","No"))</x:f>
      </x:c>
      <x:c r="I81" s="8"/>
      <x:c r="J81" s="8"/>
      <x:c r="K81" s="8"/>
    </x:row>
    <x:row r="82">
      <x:c r="A82" s="8"/>
      <x:c r="B82" s="8"/>
      <x:c r="C82" s="8"/>
      <x:c r="D82" s="11"/>
      <x:c r="E82" s="11"/>
      <x:c r="F82" s="14" t="str">
        <x:f>IF(A82="","",IF(D82=0,0,E82/D82))</x:f>
      </x:c>
      <x:c r="G82" s="8" t="str">
        <x:f>IF(A82="","",IF(F82&gt;10%,"Yes","No"))</x:f>
      </x:c>
      <x:c r="H82" s="8" t="str">
        <x:f>IF(A82="","",IF(OR(F82&gt;10%,C82="Subcontracting / delegation"),"Yes","No"))</x:f>
      </x:c>
      <x:c r="I82" s="8"/>
      <x:c r="J82" s="8"/>
      <x:c r="K82" s="8"/>
    </x:row>
    <x:row r="83">
      <x:c r="A83" s="8"/>
      <x:c r="B83" s="8"/>
      <x:c r="C83" s="8"/>
      <x:c r="D83" s="11"/>
      <x:c r="E83" s="11"/>
      <x:c r="F83" s="14" t="str">
        <x:f>IF(A83="","",IF(D83=0,0,E83/D83))</x:f>
      </x:c>
      <x:c r="G83" s="8" t="str">
        <x:f>IF(A83="","",IF(F83&gt;10%,"Yes","No"))</x:f>
      </x:c>
      <x:c r="H83" s="8" t="str">
        <x:f>IF(A83="","",IF(OR(F83&gt;10%,C83="Subcontracting / delegation"),"Yes","No"))</x:f>
      </x:c>
      <x:c r="I83" s="8"/>
      <x:c r="J83" s="8"/>
      <x:c r="K83" s="8"/>
    </x:row>
    <x:row r="84">
      <x:c r="A84" s="8"/>
      <x:c r="B84" s="8"/>
      <x:c r="C84" s="8"/>
      <x:c r="D84" s="11"/>
      <x:c r="E84" s="11"/>
      <x:c r="F84" s="14" t="str">
        <x:f>IF(A84="","",IF(D84=0,0,E84/D84))</x:f>
      </x:c>
      <x:c r="G84" s="8" t="str">
        <x:f>IF(A84="","",IF(F84&gt;10%,"Yes","No"))</x:f>
      </x:c>
      <x:c r="H84" s="8" t="str">
        <x:f>IF(A84="","",IF(OR(F84&gt;10%,C84="Subcontracting / delegation"),"Yes","No"))</x:f>
      </x:c>
      <x:c r="I84" s="8"/>
      <x:c r="J84" s="8"/>
      <x:c r="K84" s="8"/>
    </x:row>
    <x:row r="85">
      <x:c r="A85" s="8"/>
      <x:c r="B85" s="8"/>
      <x:c r="C85" s="8"/>
      <x:c r="D85" s="11"/>
      <x:c r="E85" s="11"/>
      <x:c r="F85" s="14" t="str">
        <x:f>IF(A85="","",IF(D85=0,0,E85/D85))</x:f>
      </x:c>
      <x:c r="G85" s="8" t="str">
        <x:f>IF(A85="","",IF(F85&gt;10%,"Yes","No"))</x:f>
      </x:c>
      <x:c r="H85" s="8" t="str">
        <x:f>IF(A85="","",IF(OR(F85&gt;10%,C85="Subcontracting / delegation"),"Yes","No"))</x:f>
      </x:c>
      <x:c r="I85" s="8"/>
      <x:c r="J85" s="8"/>
      <x:c r="K85" s="8"/>
    </x:row>
    <x:row r="86">
      <x:c r="A86" s="8"/>
      <x:c r="B86" s="8"/>
      <x:c r="C86" s="8"/>
      <x:c r="D86" s="11"/>
      <x:c r="E86" s="11"/>
      <x:c r="F86" s="14" t="str">
        <x:f>IF(A86="","",IF(D86=0,0,E86/D86))</x:f>
      </x:c>
      <x:c r="G86" s="8" t="str">
        <x:f>IF(A86="","",IF(F86&gt;10%,"Yes","No"))</x:f>
      </x:c>
      <x:c r="H86" s="8" t="str">
        <x:f>IF(A86="","",IF(OR(F86&gt;10%,C86="Subcontracting / delegation"),"Yes","No"))</x:f>
      </x:c>
      <x:c r="I86" s="8"/>
      <x:c r="J86" s="8"/>
      <x:c r="K86" s="8"/>
    </x:row>
    <x:row r="87">
      <x:c r="A87" s="8"/>
      <x:c r="B87" s="8"/>
      <x:c r="C87" s="8"/>
      <x:c r="D87" s="11"/>
      <x:c r="E87" s="11"/>
      <x:c r="F87" s="14" t="str">
        <x:f>IF(A87="","",IF(D87=0,0,E87/D87))</x:f>
      </x:c>
      <x:c r="G87" s="8" t="str">
        <x:f>IF(A87="","",IF(F87&gt;10%,"Yes","No"))</x:f>
      </x:c>
      <x:c r="H87" s="8" t="str">
        <x:f>IF(A87="","",IF(OR(F87&gt;10%,C87="Subcontracting / delegation"),"Yes","No"))</x:f>
      </x:c>
      <x:c r="I87" s="8"/>
      <x:c r="J87" s="8"/>
      <x:c r="K87" s="8"/>
    </x:row>
    <x:row r="88">
      <x:c r="A88" s="8"/>
      <x:c r="B88" s="8"/>
      <x:c r="C88" s="8"/>
      <x:c r="D88" s="11"/>
      <x:c r="E88" s="11"/>
      <x:c r="F88" s="14" t="str">
        <x:f>IF(A88="","",IF(D88=0,0,E88/D88))</x:f>
      </x:c>
      <x:c r="G88" s="8" t="str">
        <x:f>IF(A88="","",IF(F88&gt;10%,"Yes","No"))</x:f>
      </x:c>
      <x:c r="H88" s="8" t="str">
        <x:f>IF(A88="","",IF(OR(F88&gt;10%,C88="Subcontracting / delegation"),"Yes","No"))</x:f>
      </x:c>
      <x:c r="I88" s="8"/>
      <x:c r="J88" s="8"/>
      <x:c r="K88" s="8"/>
    </x:row>
    <x:row r="89">
      <x:c r="A89" s="8"/>
      <x:c r="B89" s="8"/>
      <x:c r="C89" s="8"/>
      <x:c r="D89" s="11"/>
      <x:c r="E89" s="11"/>
      <x:c r="F89" s="14" t="str">
        <x:f>IF(A89="","",IF(D89=0,0,E89/D89))</x:f>
      </x:c>
      <x:c r="G89" s="8" t="str">
        <x:f>IF(A89="","",IF(F89&gt;10%,"Yes","No"))</x:f>
      </x:c>
      <x:c r="H89" s="8" t="str">
        <x:f>IF(A89="","",IF(OR(F89&gt;10%,C89="Subcontracting / delegation"),"Yes","No"))</x:f>
      </x:c>
      <x:c r="I89" s="8"/>
      <x:c r="J89" s="8"/>
      <x:c r="K89" s="8"/>
    </x:row>
    <x:row r="90">
      <x:c r="A90" s="8"/>
      <x:c r="B90" s="8"/>
      <x:c r="C90" s="8"/>
      <x:c r="D90" s="11"/>
      <x:c r="E90" s="11"/>
      <x:c r="F90" s="14" t="str">
        <x:f>IF(A90="","",IF(D90=0,0,E90/D90))</x:f>
      </x:c>
      <x:c r="G90" s="8" t="str">
        <x:f>IF(A90="","",IF(F90&gt;10%,"Yes","No"))</x:f>
      </x:c>
      <x:c r="H90" s="8" t="str">
        <x:f>IF(A90="","",IF(OR(F90&gt;10%,C90="Subcontracting / delegation"),"Yes","No"))</x:f>
      </x:c>
      <x:c r="I90" s="8"/>
      <x:c r="J90" s="8"/>
      <x:c r="K90" s="8"/>
    </x:row>
    <x:row r="91">
      <x:c r="A91" s="8"/>
      <x:c r="B91" s="8"/>
      <x:c r="C91" s="8"/>
      <x:c r="D91" s="11"/>
      <x:c r="E91" s="11"/>
      <x:c r="F91" s="14" t="str">
        <x:f>IF(A91="","",IF(D91=0,0,E91/D91))</x:f>
      </x:c>
      <x:c r="G91" s="8" t="str">
        <x:f>IF(A91="","",IF(F91&gt;10%,"Yes","No"))</x:f>
      </x:c>
      <x:c r="H91" s="8" t="str">
        <x:f>IF(A91="","",IF(OR(F91&gt;10%,C91="Subcontracting / delegation"),"Yes","No"))</x:f>
      </x:c>
      <x:c r="I91" s="8"/>
      <x:c r="J91" s="8"/>
      <x:c r="K91" s="8"/>
    </x:row>
    <x:row r="92">
      <x:c r="A92" s="8"/>
      <x:c r="B92" s="8"/>
      <x:c r="C92" s="8"/>
      <x:c r="D92" s="11"/>
      <x:c r="E92" s="11"/>
      <x:c r="F92" s="14" t="str">
        <x:f>IF(A92="","",IF(D92=0,0,E92/D92))</x:f>
      </x:c>
      <x:c r="G92" s="8" t="str">
        <x:f>IF(A92="","",IF(F92&gt;10%,"Yes","No"))</x:f>
      </x:c>
      <x:c r="H92" s="8" t="str">
        <x:f>IF(A92="","",IF(OR(F92&gt;10%,C92="Subcontracting / delegation"),"Yes","No"))</x:f>
      </x:c>
      <x:c r="I92" s="8"/>
      <x:c r="J92" s="8"/>
      <x:c r="K92" s="8"/>
    </x:row>
    <x:row r="93">
      <x:c r="A93" s="8"/>
      <x:c r="B93" s="8"/>
      <x:c r="C93" s="8"/>
      <x:c r="D93" s="11"/>
      <x:c r="E93" s="11"/>
      <x:c r="F93" s="14" t="str">
        <x:f>IF(A93="","",IF(D93=0,0,E93/D93))</x:f>
      </x:c>
      <x:c r="G93" s="8" t="str">
        <x:f>IF(A93="","",IF(F93&gt;10%,"Yes","No"))</x:f>
      </x:c>
      <x:c r="H93" s="8" t="str">
        <x:f>IF(A93="","",IF(OR(F93&gt;10%,C93="Subcontracting / delegation"),"Yes","No"))</x:f>
      </x:c>
      <x:c r="I93" s="8"/>
      <x:c r="J93" s="8"/>
      <x:c r="K93" s="8"/>
    </x:row>
    <x:row r="94">
      <x:c r="A94" s="8"/>
      <x:c r="B94" s="8"/>
      <x:c r="C94" s="8"/>
      <x:c r="D94" s="11"/>
      <x:c r="E94" s="11"/>
      <x:c r="F94" s="14" t="str">
        <x:f>IF(A94="","",IF(D94=0,0,E94/D94))</x:f>
      </x:c>
      <x:c r="G94" s="8" t="str">
        <x:f>IF(A94="","",IF(F94&gt;10%,"Yes","No"))</x:f>
      </x:c>
      <x:c r="H94" s="8" t="str">
        <x:f>IF(A94="","",IF(OR(F94&gt;10%,C94="Subcontracting / delegation"),"Yes","No"))</x:f>
      </x:c>
      <x:c r="I94" s="8"/>
      <x:c r="J94" s="8"/>
      <x:c r="K94" s="8"/>
    </x:row>
    <x:row r="95">
      <x:c r="A95" s="8"/>
      <x:c r="B95" s="8"/>
      <x:c r="C95" s="8"/>
      <x:c r="D95" s="11"/>
      <x:c r="E95" s="11"/>
      <x:c r="F95" s="14" t="str">
        <x:f>IF(A95="","",IF(D95=0,0,E95/D95))</x:f>
      </x:c>
      <x:c r="G95" s="8" t="str">
        <x:f>IF(A95="","",IF(F95&gt;10%,"Yes","No"))</x:f>
      </x:c>
      <x:c r="H95" s="8" t="str">
        <x:f>IF(A95="","",IF(OR(F95&gt;10%,C95="Subcontracting / delegation"),"Yes","No"))</x:f>
      </x:c>
      <x:c r="I95" s="8"/>
      <x:c r="J95" s="8"/>
      <x:c r="K95" s="8"/>
    </x:row>
    <x:row r="96">
      <x:c r="A96" s="8"/>
      <x:c r="B96" s="8"/>
      <x:c r="C96" s="8"/>
      <x:c r="D96" s="11"/>
      <x:c r="E96" s="11"/>
      <x:c r="F96" s="14" t="str">
        <x:f>IF(A96="","",IF(D96=0,0,E96/D96))</x:f>
      </x:c>
      <x:c r="G96" s="8" t="str">
        <x:f>IF(A96="","",IF(F96&gt;10%,"Yes","No"))</x:f>
      </x:c>
      <x:c r="H96" s="8" t="str">
        <x:f>IF(A96="","",IF(OR(F96&gt;10%,C96="Subcontracting / delegation"),"Yes","No"))</x:f>
      </x:c>
      <x:c r="I96" s="8"/>
      <x:c r="J96" s="8"/>
      <x:c r="K96" s="8"/>
    </x:row>
    <x:row r="97">
      <x:c r="A97" s="8"/>
      <x:c r="B97" s="8"/>
      <x:c r="C97" s="8"/>
      <x:c r="D97" s="11"/>
      <x:c r="E97" s="11"/>
      <x:c r="F97" s="14" t="str">
        <x:f>IF(A97="","",IF(D97=0,0,E97/D97))</x:f>
      </x:c>
      <x:c r="G97" s="8" t="str">
        <x:f>IF(A97="","",IF(F97&gt;10%,"Yes","No"))</x:f>
      </x:c>
      <x:c r="H97" s="8" t="str">
        <x:f>IF(A97="","",IF(OR(F97&gt;10%,C97="Subcontracting / delegation"),"Yes","No"))</x:f>
      </x:c>
      <x:c r="I97" s="8"/>
      <x:c r="J97" s="8"/>
      <x:c r="K97" s="8"/>
    </x:row>
    <x:row r="98">
      <x:c r="A98" s="8"/>
      <x:c r="B98" s="8"/>
      <x:c r="C98" s="8"/>
      <x:c r="D98" s="11"/>
      <x:c r="E98" s="11"/>
      <x:c r="F98" s="14" t="str">
        <x:f>IF(A98="","",IF(D98=0,0,E98/D98))</x:f>
      </x:c>
      <x:c r="G98" s="8" t="str">
        <x:f>IF(A98="","",IF(F98&gt;10%,"Yes","No"))</x:f>
      </x:c>
      <x:c r="H98" s="8" t="str">
        <x:f>IF(A98="","",IF(OR(F98&gt;10%,C98="Subcontracting / delegation"),"Yes","No"))</x:f>
      </x:c>
      <x:c r="I98" s="8"/>
      <x:c r="J98" s="8"/>
      <x:c r="K98" s="8"/>
    </x:row>
    <x:row r="99">
      <x:c r="A99" s="8"/>
      <x:c r="B99" s="8"/>
      <x:c r="C99" s="8"/>
      <x:c r="D99" s="11"/>
      <x:c r="E99" s="11"/>
      <x:c r="F99" s="14" t="str">
        <x:f>IF(A99="","",IF(D99=0,0,E99/D99))</x:f>
      </x:c>
      <x:c r="G99" s="8" t="str">
        <x:f>IF(A99="","",IF(F99&gt;10%,"Yes","No"))</x:f>
      </x:c>
      <x:c r="H99" s="8" t="str">
        <x:f>IF(A99="","",IF(OR(F99&gt;10%,C99="Subcontracting / delegation"),"Yes","No"))</x:f>
      </x:c>
      <x:c r="I99" s="8"/>
      <x:c r="J99" s="8"/>
      <x:c r="K99" s="8"/>
    </x:row>
    <x:row r="100">
      <x:c r="A100" s="8"/>
      <x:c r="B100" s="8"/>
      <x:c r="C100" s="8"/>
      <x:c r="D100" s="11"/>
      <x:c r="E100" s="11"/>
      <x:c r="F100" s="14" t="str">
        <x:f>IF(A100="","",IF(D100=0,0,E100/D100))</x:f>
      </x:c>
      <x:c r="G100" s="8" t="str">
        <x:f>IF(A100="","",IF(F100&gt;10%,"Yes","No"))</x:f>
      </x:c>
      <x:c r="H100" s="8" t="str">
        <x:f>IF(A100="","",IF(OR(F100&gt;10%,C100="Subcontracting / delegation"),"Yes","No"))</x:f>
      </x:c>
      <x:c r="I100" s="8"/>
      <x:c r="J100" s="8"/>
      <x:c r="K100" s="8"/>
    </x:row>
    <x:row r="101">
      <x:c r="A101" s="8"/>
      <x:c r="B101" s="8"/>
      <x:c r="C101" s="8"/>
      <x:c r="D101" s="11"/>
      <x:c r="E101" s="11"/>
      <x:c r="F101" s="14" t="str">
        <x:f>IF(A101="","",IF(D101=0,0,E101/D101))</x:f>
      </x:c>
      <x:c r="G101" s="8" t="str">
        <x:f>IF(A101="","",IF(F101&gt;10%,"Yes","No"))</x:f>
      </x:c>
      <x:c r="H101" s="8" t="str">
        <x:f>IF(A101="","",IF(OR(F101&gt;10%,C101="Subcontracting / delegation"),"Yes","No"))</x:f>
      </x:c>
      <x:c r="I101" s="8"/>
      <x:c r="J101" s="8"/>
      <x:c r="K101" s="8"/>
    </x:row>
    <x:row r="102">
      <x:c r="A102" s="8"/>
      <x:c r="B102" s="8"/>
      <x:c r="C102" s="8"/>
      <x:c r="D102" s="11"/>
      <x:c r="E102" s="11"/>
      <x:c r="F102" s="14" t="str">
        <x:f>IF(A102="","",IF(D102=0,0,E102/D102))</x:f>
      </x:c>
      <x:c r="G102" s="8" t="str">
        <x:f>IF(A102="","",IF(F102&gt;10%,"Yes","No"))</x:f>
      </x:c>
      <x:c r="H102" s="8" t="str">
        <x:f>IF(A102="","",IF(OR(F102&gt;10%,C102="Subcontracting / delegation"),"Yes","No"))</x:f>
      </x:c>
      <x:c r="I102" s="8"/>
      <x:c r="J102" s="8"/>
      <x:c r="K102" s="8"/>
    </x:row>
    <x:row r="103">
      <x:c r="A103" s="8"/>
      <x:c r="B103" s="8"/>
      <x:c r="C103" s="8"/>
      <x:c r="D103" s="11"/>
      <x:c r="E103" s="11"/>
      <x:c r="F103" s="14" t="str">
        <x:f>IF(A103="","",IF(D103=0,0,E103/D103))</x:f>
      </x:c>
      <x:c r="G103" s="8" t="str">
        <x:f>IF(A103="","",IF(F103&gt;10%,"Yes","No"))</x:f>
      </x:c>
      <x:c r="H103" s="8" t="str">
        <x:f>IF(A103="","",IF(OR(F103&gt;10%,C103="Subcontracting / delegation"),"Yes","No"))</x:f>
      </x:c>
      <x:c r="I103" s="8"/>
      <x:c r="J103" s="8"/>
      <x:c r="K103" s="8"/>
    </x:row>
    <x:row r="104">
      <x:c r="A104" s="8"/>
      <x:c r="B104" s="8"/>
      <x:c r="C104" s="8"/>
      <x:c r="D104" s="11"/>
      <x:c r="E104" s="11"/>
      <x:c r="F104" s="14" t="str">
        <x:f>IF(A104="","",IF(D104=0,0,E104/D104))</x:f>
      </x:c>
      <x:c r="G104" s="8" t="str">
        <x:f>IF(A104="","",IF(F104&gt;10%,"Yes","No"))</x:f>
      </x:c>
      <x:c r="H104" s="8" t="str">
        <x:f>IF(A104="","",IF(OR(F104&gt;10%,C104="Subcontracting / delegation"),"Yes","No"))</x:f>
      </x:c>
      <x:c r="I104" s="8"/>
      <x:c r="J104" s="8"/>
      <x:c r="K104" s="8"/>
    </x:row>
  </x:sheetData>
  <x:mergeCells>
    <x:mergeCell ref="A1:H1"/>
    <x:mergeCell ref="A2:H2"/>
  </x:mergeCells>
  <x:dataValidations count="3">
    <x:dataValidation type="list" sqref="C5:C104">
      <x:formula1>"Scope variation,Value variation,PO amendment,Subcontracting / delegation,Assignment,Term extension,Other"</x:formula1>
    </x:dataValidation>
    <x:dataValidation type="list" sqref="I5:I104">
      <x:formula1>"N/A,Review,Required if covered,Approved"</x:formula1>
    </x:dataValidation>
    <x:dataValidation type="list" sqref="J5:J104">
      <x:formula1>"Draft,Open,Approved,Rejected,Implemented"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5a8236bee49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</x:cols>
  <x:sheetData>
    <x:row r="1" ht="25.5" customHeight="1">
      <x:c r="A1" s="2" t="str">
        <x:v>Reference Lists</x:v>
      </x:c>
    </x:row>
    <x:row r="4">
      <x:c r="A4" s="6" t="str">
        <x:v>Status</x:v>
      </x:c>
      <x:c r="B4" s="6" t="str">
        <x:v>Risk</x:v>
      </x:c>
      <x:c r="C4" s="6" t="str">
        <x:v>Contract Type</x:v>
      </x:c>
      <x:c r="D4" s="6" t="str">
        <x:v>Review Lane</x:v>
      </x:c>
      <x:c r="E4" s="6" t="str">
        <x:v>Obligation Status</x:v>
      </x:c>
    </x:row>
    <x:row r="5">
      <x:c r="A5" s="8" t="str">
        <x:v>Draft</x:v>
      </x:c>
      <x:c r="B5" s="8" t="str">
        <x:v>Low</x:v>
      </x:c>
      <x:c r="C5" s="8" t="str">
        <x:v>NDA</x:v>
      </x:c>
      <x:c r="D5" s="8" t="str">
        <x:v>Business Review</x:v>
      </x:c>
      <x:c r="E5" s="8" t="str">
        <x:v>Open</x:v>
      </x:c>
    </x:row>
    <x:row r="6">
      <x:c r="A6" s="8" t="str">
        <x:v>In Review</x:v>
      </x:c>
      <x:c r="B6" s="8" t="str">
        <x:v>Medium</x:v>
      </x:c>
      <x:c r="C6" s="8" t="str">
        <x:v>MSA</x:v>
      </x:c>
      <x:c r="D6" s="8" t="str">
        <x:v>Legal Review</x:v>
      </x:c>
      <x:c r="E6" s="8" t="str">
        <x:v>In Progress</x:v>
      </x:c>
    </x:row>
    <x:row r="7">
      <x:c r="A7" s="8" t="str">
        <x:v>Negotiating</x:v>
      </x:c>
      <x:c r="B7" s="8" t="str">
        <x:v>High</x:v>
      </x:c>
      <x:c r="C7" s="8" t="str">
        <x:v>SOW</x:v>
      </x:c>
      <x:c r="D7" s="8" t="str">
        <x:v>Privacy/Security Review</x:v>
      </x:c>
      <x:c r="E7" s="8" t="str">
        <x:v>Blocked</x:v>
      </x:c>
    </x:row>
    <x:row r="8">
      <x:c r="A8" s="8" t="str">
        <x:v>Pending Signature</x:v>
      </x:c>
      <x:c r="B8" s="8" t="str">
        <x:v>Critical</x:v>
      </x:c>
      <x:c r="C8" s="8" t="str">
        <x:v>Order Form</x:v>
      </x:c>
      <x:c r="D8" s="8" t="str">
        <x:v>Finance Review</x:v>
      </x:c>
      <x:c r="E8" s="8" t="str">
        <x:v>Complete</x:v>
      </x:c>
    </x:row>
    <x:row r="9">
      <x:c r="A9" s="8" t="str">
        <x:v>Active</x:v>
      </x:c>
      <x:c r="B9" s="8" t="str"/>
      <x:c r="C9" s="8" t="str">
        <x:v>Amendment</x:v>
      </x:c>
      <x:c r="D9" s="8" t="str">
        <x:v>Executive Approval</x:v>
      </x:c>
      <x:c r="E9" s="8" t="str">
        <x:v>Overdue</x:v>
      </x:c>
    </x:row>
    <x:row r="10">
      <x:c r="A10" s="8" t="str">
        <x:v>Expired</x:v>
      </x:c>
      <x:c r="B10" s="8" t="str"/>
      <x:c r="C10" s="8" t="str">
        <x:v>DPA</x:v>
      </x:c>
      <x:c r="D10" s="8" t="str"/>
      <x:c r="E10" s="8" t="str"/>
    </x:row>
    <x:row r="11">
      <x:c r="A11" s="8" t="str">
        <x:v>Terminated</x:v>
      </x:c>
      <x:c r="B11" s="8" t="str"/>
      <x:c r="C11" s="8" t="str">
        <x:v>Vendor Agreement</x:v>
      </x:c>
      <x:c r="D11" s="8" t="str"/>
      <x:c r="E11" s="8" t="str"/>
    </x:row>
  </x:sheetData>
  <x:mergeCells>
    <x:mergeCell ref="A1:H1"/>
  </x:mergeCells>
  <x:pageMargins left="0.7" right="0.7" top="0.75" bottom="0.75" header="0.3" footer="0.3"/>
</x:worksheet>
</file>