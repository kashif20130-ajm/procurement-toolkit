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27980d348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4ec288f2764616"/>
    <x:sheet xmlns:r="http://schemas.openxmlformats.org/officeDocument/2006/relationships" name="Audit Program" sheetId="2" r:id="Rf935bbad40a94b11"/>
    <x:sheet xmlns:r="http://schemas.openxmlformats.org/officeDocument/2006/relationships" name="Population Sample" sheetId="3" r:id="R12dc258a311944df"/>
    <x:sheet xmlns:r="http://schemas.openxmlformats.org/officeDocument/2006/relationships" name="Control Testing" sheetId="4" r:id="R4748e5493bd9419d"/>
    <x:sheet xmlns:r="http://schemas.openxmlformats.org/officeDocument/2006/relationships" name="Findings Register" sheetId="5" r:id="R4f27e43edd174bde"/>
    <x:sheet xmlns:r="http://schemas.openxmlformats.org/officeDocument/2006/relationships" name="Evidence Log" sheetId="6" r:id="Rb91b607c2378438f"/>
    <x:sheet xmlns:r="http://schemas.openxmlformats.org/officeDocument/2006/relationships" name="Vendor Risk" sheetId="7" r:id="R9ac9fc72529b49ed"/>
    <x:sheet xmlns:r="http://schemas.openxmlformats.org/officeDocument/2006/relationships" name="Instructions" sheetId="8" r:id="Rd31faba45d6a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yyyy-mm-dd"/>
    <x:numFmt numFmtId="203" formatCode="$#,##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b/>
      <x:sz val="10"/>
      <x:color rgb="FF1F2933"/>
      <x:name val="Calibri"/>
    </x:font>
    <x:font>
      <x:sz val="10"/>
      <x:color rgb="FF1F2933"/>
      <x:name val="Calibri"/>
    </x:font>
    <x:font>
      <x:i/>
      <x:sz val="10"/>
      <x:color rgb="FF1F2933"/>
      <x:name val="Calibri"/>
    </x:font>
    <x:font>
      <x:b/>
      <x:sz val="18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A"/>
      </x:patternFill>
    </x:fill>
    <x:fill>
      <x:patternFill patternType="solid">
        <x:fgColor rgb="FFE8EEF5"/>
      </x:patternFill>
    </x:fill>
    <x:fill>
      <x:patternFill patternType="solid">
        <x:fgColor rgb="FFEAF6EF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7F9FB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1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1" fontId="0" fillId="8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1" fontId="5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1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201" fontId="5" fillId="3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201" fontId="5" fillId="8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2E7D32"/>
      </x:font>
      <x:fill>
        <x:patternFill patternType="solid">
          <x:bgColor rgb="FFEAF6EF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E74B5"/>
      </x:font>
      <x:fill>
        <x:patternFill patternType="solid">
          <x:bgColor rgb="FFE8F1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77310dd9144b7" /><Relationship Type="http://schemas.openxmlformats.org/officeDocument/2006/relationships/theme" Target="/xl/theme/theme1.xml" Id="R685ff143eb204987" /><Relationship Type="http://schemas.openxmlformats.org/officeDocument/2006/relationships/sharedStrings" Target="/xl/sharedStrings.xml" Id="R7a71fecbf4cb4f2d" /><Relationship Type="http://schemas.openxmlformats.org/officeDocument/2006/relationships/worksheet" Target="/xl/worksheets/sheet1.xml" Id="R6c4ec288f2764616" /><Relationship Type="http://schemas.openxmlformats.org/officeDocument/2006/relationships/worksheet" Target="/xl/worksheets/sheet2.xml" Id="Rf935bbad40a94b11" /><Relationship Type="http://schemas.openxmlformats.org/officeDocument/2006/relationships/worksheet" Target="/xl/worksheets/sheet3.xml" Id="R12dc258a311944df" /><Relationship Type="http://schemas.openxmlformats.org/officeDocument/2006/relationships/worksheet" Target="/xl/worksheets/sheet4.xml" Id="R4748e5493bd9419d" /><Relationship Type="http://schemas.openxmlformats.org/officeDocument/2006/relationships/worksheet" Target="/xl/worksheets/sheet5.xml" Id="R4f27e43edd174bde" /><Relationship Type="http://schemas.openxmlformats.org/officeDocument/2006/relationships/worksheet" Target="/xl/worksheets/sheet6.xml" Id="Rb91b607c2378438f" /><Relationship Type="http://schemas.openxmlformats.org/officeDocument/2006/relationships/worksheet" Target="/xl/worksheets/sheet7.xml" Id="R9ac9fc72529b49ed" /><Relationship Type="http://schemas.openxmlformats.org/officeDocument/2006/relationships/worksheet" Target="/xl/worksheets/sheet8.xml" Id="Rd31faba45d6a4a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e4b497f65340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 Coverage and Exceptions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Tests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Exceptions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'Dashboard'!$F$5:$F$10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4b497f65340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pulationTable" displayName="PopulationTable" ref="A5:K205" headerRowCount="1">
  <x:tableColumns count="11">
    <x:tableColumn id="1" name="Transaction ID"/>
    <x:tableColumn id="2" name="PO Number"/>
    <x:tableColumn id="3" name="Vendor"/>
    <x:tableColumn id="4" name="Department"/>
    <x:tableColumn id="5" name="Request Date"/>
    <x:tableColumn id="6" name="PO Date"/>
    <x:tableColumn id="7" name="Invoice Date"/>
    <x:tableColumn id="8" name="Amount"/>
    <x:tableColumn id="9" name="Risk Tier"/>
    <x:tableColumn id="10" name="Sample Flag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ingTable" displayName="TestingTable" ref="A5:L205" headerRowCount="1">
  <x:tableColumns count="12">
    <x:tableColumn id="1" name="Test ID"/>
    <x:tableColumn id="2" name="Area"/>
    <x:tableColumn id="3" name="Transaction/Vendor ID"/>
    <x:tableColumn id="4" name="Control Tested"/>
    <x:tableColumn id="5" name="Attribute"/>
    <x:tableColumn id="6" name="Expected Evidence"/>
    <x:tableColumn id="7" name="Evidence Ref"/>
    <x:tableColumn id="8" name="Test Date"/>
    <x:tableColumn id="9" name="Tester"/>
    <x:tableColumn id="10" name="Result"/>
    <x:tableColumn id="11" name="Exception Summary"/>
    <x:tableColumn id="12" name="Finding ID"/>
  </x:tableColumns>
  <x:tableStyleInfo name="TableStyleMedium2" showRowStripes="1"/>
</x:table>
</file>

<file path=xl/tables/table3.xml><?xml version="1.0" encoding="utf-8"?>
<x:table xmlns:x="http://schemas.openxmlformats.org/spreadsheetml/2006/main" id="3" name="FindingsTable" displayName="FindingsTable" ref="A5:M205" headerRowCount="1">
  <x:tableColumns count="13">
    <x:tableColumn id="1" name="Finding ID"/>
    <x:tableColumn id="2" name="Title"/>
    <x:tableColumn id="3" name="Condition"/>
    <x:tableColumn id="4" name="Criteria"/>
    <x:tableColumn id="5" name="Cause"/>
    <x:tableColumn id="6" name="Effect/Risk"/>
    <x:tableColumn id="7" name="Recommendation"/>
    <x:tableColumn id="8" name="Owner"/>
    <x:tableColumn id="9" name="Target Date"/>
    <x:tableColumn id="10" name="Closure Evidence"/>
    <x:tableColumn id="11" name="Severity"/>
    <x:tableColumn id="12" name="Status"/>
    <x:tableColumn id="13" name="Review Notes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5:I205" headerRowCount="1">
  <x:tableColumns count="9">
    <x:tableColumn id="1" name="Evidence Ref"/>
    <x:tableColumn id="2" name="Document / Data Source"/>
    <x:tableColumn id="3" name="Control Area"/>
    <x:tableColumn id="4" name="Period"/>
    <x:tableColumn id="5" name="Owner / Source"/>
    <x:tableColumn id="6" name="Assertion Supported"/>
    <x:tableColumn id="7" name="Reviewed By"/>
    <x:tableColumn id="8" name="Status"/>
    <x:tableColumn id="9" name="Retention Notes"/>
  </x:tableColumns>
  <x:tableStyleInfo name="TableStyleMedium2" showRowStripes="1"/>
</x:table>
</file>

<file path=xl/tables/table5.xml><?xml version="1.0" encoding="utf-8"?>
<x:table xmlns:x="http://schemas.openxmlformats.org/spreadsheetml/2006/main" id="5" name="VendorRiskTable" displayName="VendorRiskTable" ref="A5:M205" headerRowCount="1">
  <x:tableColumns count="13">
    <x:tableColumn id="1" name="Vendor"/>
    <x:tableColumn id="2" name="Category"/>
    <x:tableColumn id="3" name="Annual Spend"/>
    <x:tableColumn id="4" name="Criticality"/>
    <x:tableColumn id="5" name="New / Existing"/>
    <x:tableColumn id="6" name="Single Source"/>
    <x:tableColumn id="7" name="Labor / Service Supplier"/>
    <x:tableColumn id="8" name="MoHRE Certificate Status"/>
    <x:tableColumn id="9" name="Due Diligence Status"/>
    <x:tableColumn id="10" name="Contract Status"/>
    <x:tableColumn id="11" name="Risk Score"/>
    <x:tableColumn id="12" name="Risk Tier"/>
    <x:tableColumn id="13" name="Audit Respon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9d65542bcc44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69f3bc05cf7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24a30ca564144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0733e537d6d45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9dbed6f7b6a4d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4c57f5d8ad4b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4.380000114440918" hidden="0" customWidth="1"/>
    <x:col min="3" max="3" width="3" hidden="0" customWidth="1"/>
    <x:col min="4" max="4" width="22.5" hidden="0" customWidth="1"/>
    <x:col min="5" max="5" width="10.630000114440918" hidden="0" customWidth="1"/>
    <x:col min="6" max="6" width="11.880000114440918" hidden="0" customWidth="1"/>
    <x:col min="7" max="7" width="3" hidden="0" customWidth="1"/>
    <x:col min="8" max="8" width="15" hidden="0" customWidth="1"/>
    <x:col min="9" max="9" width="14.380000114440918" hidden="0" customWidth="1"/>
    <x:col min="10" max="10" width="11.25" hidden="0" customWidth="1"/>
    <x:col min="11" max="11" width="30.6299991607666" hidden="0" customWidth="1"/>
  </x:cols>
  <x:sheetData>
    <x:row r="1" ht="25.5" customHeight="1">
      <x:c r="A1" s="54" t="str">
        <x:v>Procurement Audit Dashboard</x:v>
      </x:c>
      <x:c r="B1" s="33"/>
      <x:c r="C1" s="33"/>
      <x:c r="D1" s="33"/>
      <x:c r="E1" s="33"/>
      <x:c r="F1" s="33"/>
      <x:c r="G1" s="33"/>
      <x:c r="H1" s="33"/>
      <x:c r="I1" s="34"/>
      <x:c r="J1" s="34"/>
      <x:c r="K1" s="34"/>
    </x:row>
    <x:row r="2">
      <x:c r="A2" s="35" t="str">
        <x:v>Use this dashboard after entering test results, findings, evidence, and vendor risk updates.</x:v>
      </x:c>
      <x:c r="B2" s="35"/>
      <x:c r="C2" s="35"/>
      <x:c r="D2" s="35"/>
      <x:c r="E2" s="35"/>
      <x:c r="F2" s="35"/>
      <x:c r="G2" s="35"/>
      <x:c r="H2" s="35"/>
      <x:c r="I2" s="34"/>
      <x:c r="J2" s="34"/>
      <x:c r="K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>
      <x:c r="A4" s="36" t="str">
        <x:v>Metric</x:v>
      </x:c>
      <x:c r="B4" s="36" t="str">
        <x:v>Value</x:v>
      </x:c>
      <x:c r="C4" s="34"/>
      <x:c r="D4" s="36" t="str">
        <x:v>Area</x:v>
      </x:c>
      <x:c r="E4" s="36" t="str">
        <x:v>Tests</x:v>
      </x:c>
      <x:c r="F4" s="36" t="str">
        <x:v>Exceptions</x:v>
      </x:c>
      <x:c r="G4" s="34"/>
      <x:c r="H4" s="36" t="str">
        <x:v>Result</x:v>
      </x:c>
      <x:c r="I4" s="36" t="str">
        <x:v>Maturity Weight</x:v>
      </x:c>
      <x:c r="J4" s="36" t="str">
        <x:v>Included?</x:v>
      </x:c>
      <x:c r="K4" s="36" t="str">
        <x:v>Visual Rule</x:v>
      </x:c>
    </x:row>
    <x:row r="5">
      <x:c r="A5" s="37" t="str">
        <x:v>Transactions in population</x:v>
      </x:c>
      <x:c r="B5" s="37" t="n">
        <x:f>COUNTA('Population Sample'!$A$6:$A$205)</x:f>
        <x:v>8</x:v>
      </x:c>
      <x:c r="C5" s="34"/>
      <x:c r="D5" s="37" t="str">
        <x:v>Vendor onboarding</x:v>
      </x:c>
      <x:c r="E5" s="37" t="n">
        <x:f>COUNTIF('Control Testing'!$B$6:$B$205,D5)</x:f>
        <x:v>2</x:v>
      </x:c>
      <x:c r="F5" s="37" t="n">
        <x:f>COUNTIFS('Control Testing'!$B$6:$B$205,D5,'Control Testing'!$J$6:$J$205,"Fail")</x:f>
        <x:v>0</x:v>
      </x:c>
      <x:c r="G5" s="34"/>
      <x:c r="H5" s="38" t="str">
        <x:v>Pass</x:v>
      </x:c>
      <x:c r="I5" s="39" t="n">
        <x:v>1</x:v>
      </x:c>
      <x:c r="J5" s="38" t="str">
        <x:v>Yes</x:v>
      </x:c>
      <x:c r="K5" s="38" t="str">
        <x:v>Counts fully toward Audit Progress</x:v>
      </x:c>
    </x:row>
    <x:row r="6">
      <x:c r="A6" s="37" t="str">
        <x:v>Selected sample count</x:v>
      </x:c>
      <x:c r="B6" s="37" t="n">
        <x:f>COUNTIF('Population Sample'!$J$6:$J$205,"Yes")</x:f>
        <x:v>6</x:v>
      </x:c>
      <x:c r="C6" s="34"/>
      <x:c r="D6" s="37" t="str">
        <x:v>Vendor risk</x:v>
      </x:c>
      <x:c r="E6" s="37" t="n">
        <x:f>COUNTIF('Control Testing'!$B$6:$B$205,D6)</x:f>
        <x:v>1</x:v>
      </x:c>
      <x:c r="F6" s="37" t="n">
        <x:f>COUNTIFS('Control Testing'!$B$6:$B$205,D6,'Control Testing'!$J$6:$J$205,"Fail")</x:f>
        <x:v>0</x:v>
      </x:c>
      <x:c r="G6" s="34"/>
      <x:c r="H6" s="40" t="str">
        <x:v>Needs Follow-up</x:v>
      </x:c>
      <x:c r="I6" s="41" t="n">
        <x:v>0.5</x:v>
      </x:c>
      <x:c r="J6" s="40" t="str">
        <x:v>Yes</x:v>
      </x:c>
      <x:c r="K6" s="40" t="str">
        <x:v>Partial credit until remediation evidence is complete</x:v>
      </x:c>
    </x:row>
    <x:row r="7">
      <x:c r="A7" s="37" t="str">
        <x:v>Control tests logged</x:v>
      </x:c>
      <x:c r="B7" s="37" t="n">
        <x:f>COUNTA('Control Testing'!$A$6:$A$205)</x:f>
        <x:v>7</x:v>
      </x:c>
      <x:c r="C7" s="34"/>
      <x:c r="D7" s="37" t="str">
        <x:v>PO approval</x:v>
      </x:c>
      <x:c r="E7" s="37" t="n">
        <x:f>COUNTIF('Control Testing'!$B$6:$B$205,D7)</x:f>
        <x:v>1</x:v>
      </x:c>
      <x:c r="F7" s="37" t="n">
        <x:f>COUNTIFS('Control Testing'!$B$6:$B$205,D7,'Control Testing'!$J$6:$J$205,"Fail")</x:f>
        <x:v>0</x:v>
      </x:c>
      <x:c r="G7" s="34"/>
      <x:c r="H7" s="42" t="str">
        <x:v>Fail</x:v>
      </x:c>
      <x:c r="I7" s="43" t="n">
        <x:v>0</x:v>
      </x:c>
      <x:c r="J7" s="42" t="str">
        <x:v>Yes</x:v>
      </x:c>
      <x:c r="K7" s="42" t="str">
        <x:v>Counts as a gap in maturity</x:v>
      </x:c>
    </x:row>
    <x:row r="8">
      <x:c r="A8" s="37" t="str">
        <x:v>Applicable control tests</x:v>
      </x:c>
      <x:c r="B8" s="37" t="n">
        <x:f>COUNTIFS('Control Testing'!$J$6:$J$205,"&lt;&gt;",'Control Testing'!$J$6:$J$205,"&lt;&gt;N/A")</x:f>
        <x:v>7</x:v>
      </x:c>
      <x:c r="C8" s="34"/>
      <x:c r="D8" s="37" t="str">
        <x:v>Three-way match</x:v>
      </x:c>
      <x:c r="E8" s="37" t="n">
        <x:f>COUNTIF('Control Testing'!$B$6:$B$205,D8)</x:f>
        <x:v>1</x:v>
      </x:c>
      <x:c r="F8" s="37" t="n">
        <x:f>COUNTIFS('Control Testing'!$B$6:$B$205,D8,'Control Testing'!$J$6:$J$205,"Fail")</x:f>
        <x:v>1</x:v>
      </x:c>
      <x:c r="G8" s="34"/>
      <x:c r="H8" s="44" t="str">
        <x:v>N/A</x:v>
      </x:c>
      <x:c r="I8" s="45" t="n">
        <x:v>0</x:v>
      </x:c>
      <x:c r="J8" s="44" t="str">
        <x:v>No</x:v>
      </x:c>
      <x:c r="K8" s="44" t="str">
        <x:v>Excluded from denominator; no maturity penalty</x:v>
      </x:c>
    </x:row>
    <x:row r="9">
      <x:c r="A9" s="37" t="str">
        <x:v>N/A control tests</x:v>
      </x:c>
      <x:c r="B9" s="37" t="n">
        <x:f>COUNTIF('Control Testing'!$J$6:$J$205,"N/A")</x:f>
        <x:v>0</x:v>
      </x:c>
      <x:c r="C9" s="34"/>
      <x:c r="D9" s="37" t="str">
        <x:v>Contract compliance</x:v>
      </x:c>
      <x:c r="E9" s="37" t="n">
        <x:f>COUNTIF('Control Testing'!$B$6:$B$205,D9)</x:f>
        <x:v>1</x:v>
      </x:c>
      <x:c r="F9" s="37" t="n">
        <x:f>COUNTIFS('Control Testing'!$B$6:$B$205,D9,'Control Testing'!$J$6:$J$205,"Fail")</x:f>
        <x:v>0</x:v>
      </x:c>
      <x:c r="G9" s="34"/>
      <x:c r="H9" s="46" t="str">
        <x:v>Blank</x:v>
      </x:c>
      <x:c r="I9" s="47" t="n">
        <x:v>0</x:v>
      </x:c>
      <x:c r="J9" s="46" t="str">
        <x:v>No</x:v>
      </x:c>
      <x:c r="K9" s="46" t="str">
        <x:v>Not counted until a valid result is selected</x:v>
      </x:c>
    </x:row>
    <x:row r="10">
      <x:c r="A10" s="37" t="str">
        <x:v>Audit Progress</x:v>
      </x:c>
      <x:c r="B10" s="48" t="n">
        <x:f>IF(B8=0,"",(COUNTIF('Control Testing'!$J$6:$J$205,"Pass")+0.5*COUNTIF('Control Testing'!$J$6:$J$205,"Needs Follow-up"))/B8)</x:f>
        <x:v>0.7857142857142857</x:v>
      </x:c>
      <x:c r="C10" s="34"/>
      <x:c r="D10" s="37" t="str">
        <x:v>Invoice payment</x:v>
      </x:c>
      <x:c r="E10" s="37" t="n">
        <x:f>COUNTIF('Control Testing'!$B$6:$B$205,D10)</x:f>
        <x:v>1</x:v>
      </x:c>
      <x:c r="F10" s="37" t="n">
        <x:f>COUNTIFS('Control Testing'!$B$6:$B$205,D10,'Control Testing'!$J$6:$J$205,"Fail")</x:f>
        <x:v>0</x:v>
      </x:c>
      <x:c r="G10" s="34"/>
      <x:c r="H10" s="34"/>
      <x:c r="I10" s="34"/>
      <x:c r="J10" s="34"/>
      <x:c r="K10" s="34"/>
    </x:row>
    <x:row r="11">
      <x:c r="A11" s="37" t="str">
        <x:v>Company maturity rating</x:v>
      </x:c>
      <x:c r="B11" s="49" t="str">
        <x:f>IF(B10="","Not rated",IF(B10&gt;=0.9,"Optimized",IF(B10&gt;=0.75,"Managed",IF(B10&gt;=0.5,"Developing","Initial"))))</x:f>
        <x:v>Managed</x:v>
      </x:c>
      <x:c r="C11" s="34"/>
      <x:c r="D11" s="34"/>
      <x:c r="E11" s="34"/>
      <x:c r="F11" s="34"/>
      <x:c r="G11" s="34"/>
      <x:c r="H11" s="34"/>
      <x:c r="I11" s="34"/>
      <x:c r="J11" s="34"/>
      <x:c r="K11" s="34"/>
    </x:row>
    <x:row r="12">
      <x:c r="A12" s="37" t="str">
        <x:v>Open findings</x:v>
      </x:c>
      <x:c r="B12" s="37" t="n">
        <x:f>COUNTIF('Findings Register'!$L$6:$L$205,"Open")</x:f>
        <x:v>2</x:v>
      </x:c>
      <x:c r="C12" s="34"/>
      <x:c r="D12" s="34"/>
      <x:c r="E12" s="34"/>
      <x:c r="F12" s="34"/>
      <x:c r="G12" s="34"/>
      <x:c r="H12" s="34"/>
      <x:c r="I12" s="34"/>
      <x:c r="J12" s="34"/>
      <x:c r="K12" s="34"/>
    </x:row>
    <x:row r="13">
      <x:c r="A13" s="37" t="str">
        <x:v>High/Critical findings</x:v>
      </x:c>
      <x:c r="B13" s="37" t="n">
        <x:f>COUNTIFS('Findings Register'!$K$6:$K$205,"High",'Findings Register'!$L$6:$L$205,"Open")+COUNTIFS('Findings Register'!$K$6:$K$205,"Critical",'Findings Register'!$L$6:$L$205,"Open")</x:f>
        <x:v>1</x:v>
      </x:c>
      <x:c r="C13" s="34"/>
      <x:c r="D13" s="34"/>
      <x:c r="E13" s="34"/>
      <x:c r="F13" s="34"/>
      <x:c r="G13" s="34"/>
      <x:c r="H13" s="34"/>
      <x:c r="I13" s="34"/>
      <x:c r="J13" s="34"/>
      <x:c r="K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</x:row>
    <x:row r="15">
      <x:c r="A15" s="50" t="str">
        <x:v>How to use this workbook</x:v>
      </x:c>
      <x:c r="B15" s="51" t="str"/>
      <x:c r="C15" s="51" t="str"/>
      <x:c r="D15" s="51" t="str"/>
      <x:c r="E15" s="51" t="str"/>
      <x:c r="F15" s="51" t="str"/>
      <x:c r="G15" s="51" t="str"/>
      <x:c r="H15" s="51" t="str"/>
      <x:c r="I15" s="51" t="str"/>
      <x:c r="J15" s="51" t="str"/>
      <x:c r="K15" s="51" t="str"/>
    </x:row>
    <x:row r="16">
      <x:c r="A16" s="51" t="str">
        <x:v>1. Populate Population Sample with the procurement transaction population and sample flag.</x:v>
      </x:c>
      <x:c r="B16" s="51" t="str"/>
      <x:c r="C16" s="51" t="str"/>
      <x:c r="D16" s="51" t="str"/>
      <x:c r="E16" s="51" t="str"/>
      <x:c r="F16" s="51" t="str"/>
      <x:c r="G16" s="51" t="str"/>
      <x:c r="H16" s="51" t="str"/>
      <x:c r="I16" s="51" t="str"/>
      <x:c r="J16" s="51" t="str"/>
      <x:c r="K16" s="51" t="str"/>
    </x:row>
    <x:row r="17">
      <x:c r="A17" s="51" t="str">
        <x:v>2. Record control test results and evidence references in Control Testing.</x:v>
      </x:c>
      <x:c r="B17" s="51" t="str"/>
      <x:c r="C17" s="51" t="str"/>
      <x:c r="D17" s="51" t="str"/>
      <x:c r="E17" s="51" t="str"/>
      <x:c r="F17" s="51" t="str"/>
      <x:c r="G17" s="51" t="str"/>
      <x:c r="H17" s="51" t="str"/>
      <x:c r="I17" s="51" t="str"/>
      <x:c r="J17" s="51" t="str"/>
      <x:c r="K17" s="51" t="str"/>
    </x:row>
    <x:row r="18">
      <x:c r="A18" s="51" t="str">
        <x:v>3. Select N/A only when a control is not applicable; N/A is excluded from Audit Progress and company maturity rating.</x:v>
      </x:c>
      <x:c r="B18" s="51" t="str"/>
      <x:c r="C18" s="51" t="str"/>
      <x:c r="D18" s="51" t="str"/>
      <x:c r="E18" s="51" t="str"/>
      <x:c r="F18" s="51" t="str"/>
      <x:c r="G18" s="51" t="str"/>
      <x:c r="H18" s="51" t="str"/>
      <x:c r="I18" s="51" t="str"/>
      <x:c r="J18" s="51" t="str"/>
      <x:c r="K18" s="51" t="str"/>
    </x:row>
    <x:row r="19">
      <x:c r="A19" s="51" t="str">
        <x:v>4. Log exceptions in Findings Register and use Evidence Log and Vendor Risk to support working paper review.</x:v>
      </x:c>
      <x:c r="B19" s="51" t="str"/>
      <x:c r="C19" s="51" t="str"/>
      <x:c r="D19" s="51" t="str"/>
      <x:c r="E19" s="51" t="str"/>
      <x:c r="F19" s="51" t="str"/>
      <x:c r="G19" s="51" t="str"/>
      <x:c r="H19" s="51" t="str"/>
      <x:c r="I19" s="51" t="str"/>
      <x:c r="J19" s="51" t="str"/>
      <x:c r="K19" s="51" t="str"/>
    </x:row>
  </x:sheetData>
  <x:mergeCells>
    <x:mergeCell ref="A1:H1"/>
    <x:mergeCell ref="A2:H2"/>
    <x:mergeCell ref="A15:K15"/>
    <x:mergeCell ref="A16:K16"/>
    <x:mergeCell ref="A17:K17"/>
    <x:mergeCell ref="A18:K18"/>
    <x:mergeCell ref="A19:K19"/>
  </x:mergeCells>
  <x:pageMargins left="0.7" right="0.7" top="0.75" bottom="0.75" header="0.3" footer="0.3"/>
  <x:drawing xmlns:r="http://schemas.openxmlformats.org/officeDocument/2006/relationships" r:id="R2c9d65542bcc44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26.25" hidden="0" customWidth="1"/>
    <x:col min="4" max="4" width="36.25" hidden="0" customWidth="1"/>
    <x:col min="5" max="5" width="26.25" hidden="0" customWidth="1"/>
    <x:col min="6" max="6" width="20" hidden="0" customWidth="1"/>
    <x:col min="7" max="7" width="13.75" hidden="0" customWidth="1"/>
    <x:col min="8" max="8" width="13.75" hidden="0" customWidth="1"/>
  </x:cols>
  <x:sheetData>
    <x:row r="1" ht="25.5" customHeight="1">
      <x:c r="A1" s="54" t="str">
        <x:v>Procurement Audit Program</x:v>
      </x:c>
      <x:c r="B1" s="33"/>
      <x:c r="C1" s="33"/>
      <x:c r="D1" s="33"/>
      <x:c r="E1" s="33"/>
      <x:c r="F1" s="33"/>
      <x:c r="G1" s="33"/>
      <x:c r="H1" s="33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6" t="str">
        <x:v>Area</x:v>
      </x:c>
      <x:c r="B3" s="36" t="str">
        <x:v>Risk</x:v>
      </x:c>
      <x:c r="C3" s="36" t="str">
        <x:v>Control Objective</x:v>
      </x:c>
      <x:c r="D3" s="36" t="str">
        <x:v>Audit Procedure</x:v>
      </x:c>
      <x:c r="E3" s="36" t="str">
        <x:v>Evidence Required</x:v>
      </x:c>
      <x:c r="F3" s="36" t="str">
        <x:v>Sample Guidance</x:v>
      </x:c>
      <x:c r="G3" s="36" t="str">
        <x:v>Reviewer</x:v>
      </x:c>
      <x:c r="H3" s="36" t="str">
        <x:v>Status</x:v>
      </x:c>
    </x:row>
    <x:row r="4">
      <x:c r="A4" s="37" t="str">
        <x:v>Vendor onboarding</x:v>
      </x:c>
      <x:c r="B4" s="37" t="str">
        <x:v>Unapproved, conflicted, or sanctioned vendors are created in the master file.</x:v>
      </x:c>
      <x:c r="C4" s="37" t="str">
        <x:v>Only valid vendors are created after due diligence, beneficial ownership review, sanctions screening, and approval.</x:v>
      </x:c>
      <x:c r="D4" s="37" t="str">
        <x:v>Select new vendors and verify business justification, documented UBO declaration, screening against active UAE/UN sanctions lists, tax documentation, bank validation, and independent approval.</x:v>
      </x:c>
      <x:c r="E4" s="37" t="str">
        <x:v>Vendor request, UBO declaration, UAE/UN sanctions screening evidence, due diligence checklist, approval, bank validation, tax form.</x:v>
      </x:c>
      <x:c r="F4" s="37" t="str">
        <x:v>All high-risk vendors plus sample of standard vendors.</x:v>
      </x:c>
      <x:c r="G4" s="37" t="str"/>
      <x:c r="H4" s="37" t="str">
        <x:v>Not Started</x:v>
      </x:c>
    </x:row>
    <x:row r="5">
      <x:c r="A5" s="37" t="str">
        <x:v>Vendor risk - outsourced labor</x:v>
      </x:c>
      <x:c r="B5" s="37" t="str">
        <x:v>Outsourced labor or long-term service suppliers may fail active Emiratisation requirements, creating work permit suspension or deployment disruption risk.</x:v>
      </x:c>
      <x:c r="C5" s="37" t="str">
        <x:v>Labor and long-term service suppliers maintain valid MoHRE compliance documentation for active 2026 Emiratisation quotas.</x:v>
      </x:c>
      <x:c r="D5" s="37" t="str">
        <x:v>For outsourced labor or long-term service suppliers, verify that the contractor provides a valid MoHRE compliance certificate showing they are meeting active 2026 Emiratisation quotas, ensuring zero risk of sudden work permit suspensions or deployment disruptions.</x:v>
      </x:c>
      <x:c r="E5" s="37" t="str">
        <x:v>Valid MoHRE compliance certificate, vendor risk assessment, contract/service scope, reviewer signoff.</x:v>
      </x:c>
      <x:c r="F5" s="37" t="str">
        <x:v>All outsourced labor suppliers and all long-term service suppliers supporting critical operations.</x:v>
      </x:c>
      <x:c r="G5" s="37" t="str"/>
      <x:c r="H5" s="37" t="str">
        <x:v>Not Started</x:v>
      </x:c>
    </x:row>
    <x:row r="6">
      <x:c r="A6" s="37" t="str">
        <x:v>Segregation of duties</x:v>
      </x:c>
      <x:c r="B6" s="37" t="str">
        <x:v>One user can request, approve, receive, and pay purchases.</x:v>
      </x:c>
      <x:c r="C6" s="37" t="str">
        <x:v>Incompatible procurement and payment duties are segregated or monitored.</x:v>
      </x:c>
      <x:c r="D6" s="37" t="str">
        <x:v>Review role matrix and user access for purchasing, receiving, AP, and vendor maintenance. Test exceptions and compensating controls.</x:v>
      </x:c>
      <x:c r="E6" s="37" t="str">
        <x:v>User access report, role matrix, exception approvals.</x:v>
      </x:c>
      <x:c r="F6" s="37" t="str">
        <x:v>Full population of users with procurement/AP roles.</x:v>
      </x:c>
      <x:c r="G6" s="37" t="str"/>
      <x:c r="H6" s="37" t="str">
        <x:v>Not Started</x:v>
      </x:c>
    </x:row>
    <x:row r="7">
      <x:c r="A7" s="37" t="str">
        <x:v>Purchase requisition and PO approval</x:v>
      </x:c>
      <x:c r="B7" s="37" t="str">
        <x:v>Purchases bypass approved authority limits.</x:v>
      </x:c>
      <x:c r="C7" s="37" t="str">
        <x:v>POs are approved before commitment and within delegated authority.</x:v>
      </x:c>
      <x:c r="D7" s="37" t="str">
        <x:v>For sampled transactions, agree requisition/PO date and amount to approval workflow and authority matrix.</x:v>
      </x:c>
      <x:c r="E7" s="37" t="str">
        <x:v>Requisition, PO, approval workflow, delegation of authority.</x:v>
      </x:c>
      <x:c r="F7" s="37" t="str">
        <x:v>Statistical or judgmental sample by spend/risk tier.</x:v>
      </x:c>
      <x:c r="G7" s="37" t="str"/>
      <x:c r="H7" s="37" t="str">
        <x:v>Not Started</x:v>
      </x:c>
    </x:row>
    <x:row r="8">
      <x:c r="A8" s="37" t="str">
        <x:v>Three-way match</x:v>
      </x:c>
      <x:c r="B8" s="37" t="str">
        <x:v>Invoices are paid without valid PO and receipt.</x:v>
      </x:c>
      <x:c r="C8" s="37" t="str">
        <x:v>Invoice payment is supported by PO, receipt, and invoice match or approved exception.</x:v>
      </x:c>
      <x:c r="D8" s="37" t="str">
        <x:v>Verify quantity, price, and vendor match across PO, receiving record, and invoice. Investigate manual overrides.</x:v>
      </x:c>
      <x:c r="E8" s="37" t="str">
        <x:v>PO, goods receipt, invoice, match exception log.</x:v>
      </x:c>
      <x:c r="F8" s="37" t="str">
        <x:v>Sample paid invoices including overrides and high-value items.</x:v>
      </x:c>
      <x:c r="G8" s="37" t="str"/>
      <x:c r="H8" s="37" t="str">
        <x:v>Not Started</x:v>
      </x:c>
    </x:row>
    <x:row r="9">
      <x:c r="A9" s="37" t="str">
        <x:v>Contract compliance</x:v>
      </x:c>
      <x:c r="B9" s="37" t="str">
        <x:v>Prices or terms differ from negotiated agreements.</x:v>
      </x:c>
      <x:c r="C9" s="37" t="str">
        <x:v>Purchases comply with contracted price, terms, and supplier obligations.</x:v>
      </x:c>
      <x:c r="D9" s="37" t="str">
        <x:v>Compare sampled PO/invoice lines to contract pricing, term dates, rebates, service levels, and renewal provisions.</x:v>
      </x:c>
      <x:c r="E9" s="37" t="str">
        <x:v>Contract, price schedule, PO, invoice, amendment history.</x:v>
      </x:c>
      <x:c r="F9" s="37" t="str">
        <x:v>High-value contracts and recurring suppliers.</x:v>
      </x:c>
      <x:c r="G9" s="37" t="str"/>
      <x:c r="H9" s="37" t="str">
        <x:v>Not Started</x:v>
      </x:c>
    </x:row>
    <x:row r="10">
      <x:c r="A10" s="37" t="str">
        <x:v>Invoice payment</x:v>
      </x:c>
      <x:c r="B10" s="37" t="str">
        <x:v>Duplicate, early, late, or unauthorized payments occur.</x:v>
      </x:c>
      <x:c r="C10" s="37" t="str">
        <x:v>Payments are accurate, authorized, and processed according to terms.</x:v>
      </x:c>
      <x:c r="D10" s="37" t="str">
        <x:v>Review payment run approval, duplicate checks, payment timing, banking changes, and exception handling.</x:v>
      </x:c>
      <x:c r="E10" s="37" t="str">
        <x:v>Payment run, AP aging, duplicate report, bank change approval.</x:v>
      </x:c>
      <x:c r="F10" s="37" t="str">
        <x:v>Include top vendors, manual payments, and duplicate risk flags.</x:v>
      </x:c>
      <x:c r="G10" s="37" t="str"/>
      <x:c r="H10" s="37" t="str">
        <x:v>Not Started</x:v>
      </x:c>
    </x:row>
    <x:row r="11">
      <x:c r="A11" s="37" t="str">
        <x:v>Procurement cards and emergency buys</x:v>
      </x:c>
      <x:c r="B11" s="37" t="str">
        <x:v>Spend is split or coded to avoid normal procurement controls.</x:v>
      </x:c>
      <x:c r="C11" s="37" t="str">
        <x:v>Non-standard purchases are justified, approved, and monitored.</x:v>
      </x:c>
      <x:c r="D11" s="37" t="str">
        <x:v>Test emergency purchase justification, card limits, receipt support, split purchases, and post-purchase review.</x:v>
      </x:c>
      <x:c r="E11" s="37" t="str">
        <x:v>P-card statement, receipts, exception approval, review signoff.</x:v>
      </x:c>
      <x:c r="F11" s="37" t="str">
        <x:v>Risk-based sample from card and emergency purchase populations.</x:v>
      </x:c>
      <x:c r="G11" s="37" t="str"/>
      <x:c r="H11" s="37" t="str">
        <x:v>Not Started</x:v>
      </x:c>
    </x:row>
    <x:row r="12">
      <x:c r="A12" s="37" t="str">
        <x:v>Reporting and monitoring</x:v>
      </x:c>
      <x:c r="B12" s="37" t="str">
        <x:v>Exceptions are not tracked to remediation.</x:v>
      </x:c>
      <x:c r="C12" s="37" t="str">
        <x:v>Procurement exceptions are reported, assigned, and resolved.</x:v>
      </x:c>
      <x:c r="D12" s="37" t="str">
        <x:v>Trace exceptions from test sheets to findings log and management action plan. Verify closure evidence.</x:v>
      </x:c>
      <x:c r="E12" s="37" t="str">
        <x:v>Exception report, findings register, action plan, closure evidence.</x:v>
      </x:c>
      <x:c r="F12" s="37" t="str">
        <x:v>All high/critical exceptions and sample of moderate items.</x:v>
      </x:c>
      <x:c r="G12" s="37" t="str"/>
      <x:c r="H12" s="37" t="str">
        <x:v>Not Started</x:v>
      </x:c>
    </x:row>
    <x:row r="13">
      <x:c r="A13" s="37"/>
      <x:c r="B13" s="37"/>
      <x:c r="C13" s="37"/>
      <x:c r="D13" s="37"/>
      <x:c r="E13" s="37"/>
      <x:c r="F13" s="37"/>
      <x:c r="G13" s="37"/>
      <x:c r="H13" s="37"/>
    </x:row>
    <x:row r="14">
      <x:c r="A14" s="37"/>
      <x:c r="B14" s="37"/>
      <x:c r="C14" s="37"/>
      <x:c r="D14" s="37"/>
      <x:c r="E14" s="37"/>
      <x:c r="F14" s="37"/>
      <x:c r="G14" s="37"/>
      <x:c r="H14" s="37"/>
    </x:row>
    <x:row r="15">
      <x:c r="A15" s="37"/>
      <x:c r="B15" s="37"/>
      <x:c r="C15" s="37"/>
      <x:c r="D15" s="37"/>
      <x:c r="E15" s="37"/>
      <x:c r="F15" s="37"/>
      <x:c r="G15" s="37"/>
      <x:c r="H15" s="37"/>
    </x:row>
    <x:row r="16">
      <x:c r="A16" s="37"/>
      <x:c r="B16" s="37"/>
      <x:c r="C16" s="37"/>
      <x:c r="D16" s="37"/>
      <x:c r="E16" s="37"/>
      <x:c r="F16" s="37"/>
      <x:c r="G16" s="37"/>
      <x:c r="H16" s="37"/>
    </x:row>
    <x:row r="17">
      <x:c r="A17" s="37"/>
      <x:c r="B17" s="37"/>
      <x:c r="C17" s="37"/>
      <x:c r="D17" s="37"/>
      <x:c r="E17" s="37"/>
      <x:c r="F17" s="37"/>
      <x:c r="G17" s="37"/>
      <x:c r="H17" s="37"/>
    </x:row>
    <x:row r="18">
      <x:c r="A18" s="37"/>
      <x:c r="B18" s="37"/>
      <x:c r="C18" s="37"/>
      <x:c r="D18" s="37"/>
      <x:c r="E18" s="37"/>
      <x:c r="F18" s="37"/>
      <x:c r="G18" s="37"/>
      <x:c r="H18" s="37"/>
    </x:row>
    <x:row r="19">
      <x:c r="A19" s="37"/>
      <x:c r="B19" s="37"/>
      <x:c r="C19" s="37"/>
      <x:c r="D19" s="37"/>
      <x:c r="E19" s="37"/>
      <x:c r="F19" s="37"/>
      <x:c r="G19" s="37"/>
      <x:c r="H19" s="37"/>
    </x:row>
    <x:row r="20">
      <x:c r="A20" s="37"/>
      <x:c r="B20" s="37"/>
      <x:c r="C20" s="37"/>
      <x:c r="D20" s="37"/>
      <x:c r="E20" s="37"/>
      <x:c r="F20" s="37"/>
      <x:c r="G20" s="37"/>
      <x:c r="H20" s="37"/>
    </x:row>
    <x:row r="21">
      <x:c r="A21" s="37"/>
      <x:c r="B21" s="37"/>
      <x:c r="C21" s="37"/>
      <x:c r="D21" s="37"/>
      <x:c r="E21" s="37"/>
      <x:c r="F21" s="37"/>
      <x:c r="G21" s="37"/>
      <x:c r="H21" s="37"/>
    </x:row>
    <x:row r="22">
      <x:c r="A22" s="37"/>
      <x:c r="B22" s="37"/>
      <x:c r="C22" s="37"/>
      <x:c r="D22" s="37"/>
      <x:c r="E22" s="37"/>
      <x:c r="F22" s="37"/>
      <x:c r="G22" s="37"/>
      <x:c r="H22" s="37"/>
    </x:row>
    <x:row r="23">
      <x:c r="A23" s="37"/>
      <x:c r="B23" s="37"/>
      <x:c r="C23" s="37"/>
      <x:c r="D23" s="37"/>
      <x:c r="E23" s="37"/>
      <x:c r="F23" s="37"/>
      <x:c r="G23" s="37"/>
      <x:c r="H23" s="37"/>
    </x:row>
    <x:row r="24">
      <x:c r="A24" s="37"/>
      <x:c r="B24" s="37"/>
      <x:c r="C24" s="37"/>
      <x:c r="D24" s="37"/>
      <x:c r="E24" s="37"/>
      <x:c r="F24" s="37"/>
      <x:c r="G24" s="37"/>
      <x:c r="H24" s="37"/>
    </x:row>
    <x:row r="25">
      <x:c r="A25" s="37"/>
      <x:c r="B25" s="37"/>
      <x:c r="C25" s="37"/>
      <x:c r="D25" s="37"/>
      <x:c r="E25" s="37"/>
      <x:c r="F25" s="37"/>
      <x:c r="G25" s="37"/>
      <x:c r="H25" s="37"/>
    </x:row>
    <x:row r="26">
      <x:c r="A26" s="37"/>
      <x:c r="B26" s="37"/>
      <x:c r="C26" s="37"/>
      <x:c r="D26" s="37"/>
      <x:c r="E26" s="37"/>
      <x:c r="F26" s="37"/>
      <x:c r="G26" s="37"/>
      <x:c r="H26" s="37"/>
    </x:row>
    <x:row r="27">
      <x:c r="A27" s="37"/>
      <x:c r="B27" s="37"/>
      <x:c r="C27" s="37"/>
      <x:c r="D27" s="37"/>
      <x:c r="E27" s="37"/>
      <x:c r="F27" s="37"/>
      <x:c r="G27" s="37"/>
      <x:c r="H27" s="37"/>
    </x:row>
    <x:row r="28">
      <x:c r="A28" s="37"/>
      <x:c r="B28" s="37"/>
      <x:c r="C28" s="37"/>
      <x:c r="D28" s="37"/>
      <x:c r="E28" s="37"/>
      <x:c r="F28" s="37"/>
      <x:c r="G28" s="37"/>
      <x:c r="H28" s="37"/>
    </x:row>
    <x:row r="29">
      <x:c r="A29" s="37"/>
      <x:c r="B29" s="37"/>
      <x:c r="C29" s="37"/>
      <x:c r="D29" s="37"/>
      <x:c r="E29" s="37"/>
      <x:c r="F29" s="37"/>
      <x:c r="G29" s="37"/>
      <x:c r="H29" s="37"/>
    </x:row>
    <x:row r="30">
      <x:c r="A30" s="37"/>
      <x:c r="B30" s="37"/>
      <x:c r="C30" s="37"/>
      <x:c r="D30" s="37"/>
      <x:c r="E30" s="37"/>
      <x:c r="F30" s="37"/>
      <x:c r="G30" s="37"/>
      <x:c r="H30" s="37"/>
    </x:row>
    <x:row r="31">
      <x:c r="A31" s="37"/>
      <x:c r="B31" s="37"/>
      <x:c r="C31" s="37"/>
      <x:c r="D31" s="37"/>
      <x:c r="E31" s="37"/>
      <x:c r="F31" s="37"/>
      <x:c r="G31" s="37"/>
      <x:c r="H31" s="37"/>
    </x:row>
    <x:row r="32">
      <x:c r="A32" s="37"/>
      <x:c r="B32" s="37"/>
      <x:c r="C32" s="37"/>
      <x:c r="D32" s="37"/>
      <x:c r="E32" s="37"/>
      <x:c r="F32" s="37"/>
      <x:c r="G32" s="37"/>
      <x:c r="H32" s="37"/>
    </x:row>
    <x:row r="33">
      <x:c r="A33" s="37"/>
      <x:c r="B33" s="37"/>
      <x:c r="C33" s="37"/>
      <x:c r="D33" s="37"/>
      <x:c r="E33" s="37"/>
      <x:c r="F33" s="37"/>
      <x:c r="G33" s="37"/>
      <x:c r="H33" s="37"/>
    </x:row>
    <x:row r="34">
      <x:c r="A34" s="37"/>
      <x:c r="B34" s="37"/>
      <x:c r="C34" s="37"/>
      <x:c r="D34" s="37"/>
      <x:c r="E34" s="37"/>
      <x:c r="F34" s="37"/>
      <x:c r="G34" s="37"/>
      <x:c r="H34" s="37"/>
    </x:row>
    <x:row r="35">
      <x:c r="A35" s="37"/>
      <x:c r="B35" s="37"/>
      <x:c r="C35" s="37"/>
      <x:c r="D35" s="37"/>
      <x:c r="E35" s="37"/>
      <x:c r="F35" s="37"/>
      <x:c r="G35" s="37"/>
      <x:c r="H35" s="37"/>
    </x:row>
  </x:sheetData>
  <x:mergeCells>
    <x:mergeCell ref="A1:H1"/>
  </x:mergeCells>
  <x:dataValidations count="1">
    <x:dataValidation type="list" sqref="H4:H35">
      <x:formula1>"Not Started,In Progress,Complete,N/A"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880000114440918" hidden="0" customWidth="1"/>
    <x:col min="3" max="3" width="22.5" hidden="0" customWidth="1"/>
    <x:col min="4" max="4" width="15.630000114440918" hidden="0" customWidth="1"/>
    <x:col min="5" max="5" width="13.130000114440918" hidden="0" customWidth="1"/>
    <x:col min="6" max="6" width="11.880000114440918" hidden="0" customWidth="1"/>
    <x:col min="7" max="7" width="13.130000114440918" hidden="0" customWidth="1"/>
    <x:col min="8" max="8" width="11.880000114440918" hidden="0" customWidth="1"/>
    <x:col min="9" max="9" width="11.25" hidden="0" customWidth="1"/>
    <x:col min="10" max="10" width="11.25" hidden="0" customWidth="1"/>
    <x:col min="11" max="11" width="26.25" hidden="0" customWidth="1"/>
  </x:cols>
  <x:sheetData>
    <x:row r="1" ht="25.5" customHeight="1">
      <x:c r="A1" s="54" t="str">
        <x:v>Procurement Population and Sample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>
      <x:c r="A3" s="35" t="str">
        <x:v>Enter or paste the transaction population below. Use Sample Flag = Yes for selected transactions.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>
      <x:c r="A5" s="36" t="str">
        <x:v>Transaction ID</x:v>
      </x:c>
      <x:c r="B5" s="36" t="str">
        <x:v>PO Number</x:v>
      </x:c>
      <x:c r="C5" s="36" t="str">
        <x:v>Vendor</x:v>
      </x:c>
      <x:c r="D5" s="36" t="str">
        <x:v>Department</x:v>
      </x:c>
      <x:c r="E5" s="36" t="str">
        <x:v>Request Date</x:v>
      </x:c>
      <x:c r="F5" s="36" t="str">
        <x:v>PO Date</x:v>
      </x:c>
      <x:c r="G5" s="36" t="str">
        <x:v>Invoice Date</x:v>
      </x:c>
      <x:c r="H5" s="36" t="str">
        <x:v>Amount</x:v>
      </x:c>
      <x:c r="I5" s="36" t="str">
        <x:v>Risk Tier</x:v>
      </x:c>
      <x:c r="J5" s="36" t="str">
        <x:v>Sample Flag</x:v>
      </x:c>
      <x:c r="K5" s="36" t="str">
        <x:v>Notes</x:v>
      </x:c>
    </x:row>
    <x:row r="6">
      <x:c r="A6" s="37" t="str">
        <x:v>TXN-1001</x:v>
      </x:c>
      <x:c r="B6" s="37" t="str">
        <x:v>PO-45001</x:v>
      </x:c>
      <x:c r="C6" s="37" t="str">
        <x:v>Al Noor Office Supply</x:v>
      </x:c>
      <x:c r="D6" s="37" t="str">
        <x:v>Operations</x:v>
      </x:c>
      <x:c r="E6" s="52" t="n">
        <x:v>46030</x:v>
      </x:c>
      <x:c r="F6" s="52" t="n">
        <x:v>46032</x:v>
      </x:c>
      <x:c r="G6" s="52" t="n">
        <x:v>46047</x:v>
      </x:c>
      <x:c r="H6" s="53" t="n">
        <x:v>18450</x:v>
      </x:c>
      <x:c r="I6" s="37" t="str">
        <x:v>Medium</x:v>
      </x:c>
      <x:c r="J6" s="37" t="str">
        <x:v>Yes</x:v>
      </x:c>
      <x:c r="K6" s="37" t="str">
        <x:v>New vendor in period</x:v>
      </x:c>
    </x:row>
    <x:row r="7">
      <x:c r="A7" s="37" t="str">
        <x:v>TXN-1002</x:v>
      </x:c>
      <x:c r="B7" s="37" t="str">
        <x:v>PO-45002</x:v>
      </x:c>
      <x:c r="C7" s="37" t="str">
        <x:v>Gulf Tech Services</x:v>
      </x:c>
      <x:c r="D7" s="37" t="str">
        <x:v>IT</x:v>
      </x:c>
      <x:c r="E7" s="52" t="n">
        <x:v>46037</x:v>
      </x:c>
      <x:c r="F7" s="52" t="n">
        <x:v>46038</x:v>
      </x:c>
      <x:c r="G7" s="52" t="n">
        <x:v>46058</x:v>
      </x:c>
      <x:c r="H7" s="53" t="n">
        <x:v>97500</x:v>
      </x:c>
      <x:c r="I7" s="37" t="str">
        <x:v>High</x:v>
      </x:c>
      <x:c r="J7" s="37" t="str">
        <x:v>Yes</x:v>
      </x:c>
      <x:c r="K7" s="37" t="str">
        <x:v>Above approval threshold</x:v>
      </x:c>
    </x:row>
    <x:row r="8">
      <x:c r="A8" s="37" t="str">
        <x:v>TXN-1003</x:v>
      </x:c>
      <x:c r="B8" s="37" t="str">
        <x:v>PO-45003</x:v>
      </x:c>
      <x:c r="C8" s="37" t="str">
        <x:v>Blue Harbor Logistics</x:v>
      </x:c>
      <x:c r="D8" s="37" t="str">
        <x:v>Supply Chain</x:v>
      </x:c>
      <x:c r="E8" s="52" t="n">
        <x:v>46056</x:v>
      </x:c>
      <x:c r="F8" s="52" t="n">
        <x:v>46057</x:v>
      </x:c>
      <x:c r="G8" s="52" t="n">
        <x:v>46081</x:v>
      </x:c>
      <x:c r="H8" s="53" t="n">
        <x:v>42100</x:v>
      </x:c>
      <x:c r="I8" s="37" t="str">
        <x:v>High</x:v>
      </x:c>
      <x:c r="J8" s="37" t="str">
        <x:v>Yes</x:v>
      </x:c>
      <x:c r="K8" s="37" t="str">
        <x:v>Contracted service</x:v>
      </x:c>
    </x:row>
    <x:row r="9">
      <x:c r="A9" s="37" t="str">
        <x:v>TXN-1004</x:v>
      </x:c>
      <x:c r="B9" s="37" t="str">
        <x:v>PO-45004</x:v>
      </x:c>
      <x:c r="C9" s="37" t="str">
        <x:v>Desert Print House</x:v>
      </x:c>
      <x:c r="D9" s="37" t="str">
        <x:v>Marketing</x:v>
      </x:c>
      <x:c r="E9" s="52" t="n">
        <x:v>46060</x:v>
      </x:c>
      <x:c r="F9" s="52" t="n">
        <x:v>46061</x:v>
      </x:c>
      <x:c r="G9" s="52" t="n">
        <x:v>46071</x:v>
      </x:c>
      <x:c r="H9" s="53" t="n">
        <x:v>6400</x:v>
      </x:c>
      <x:c r="I9" s="37" t="str">
        <x:v>Low</x:v>
      </x:c>
      <x:c r="J9" s="37" t="str">
        <x:v>No</x:v>
      </x:c>
      <x:c r="K9" s="37" t="str"/>
    </x:row>
    <x:row r="10">
      <x:c r="A10" s="37" t="str">
        <x:v>TXN-1005</x:v>
      </x:c>
      <x:c r="B10" s="37" t="str">
        <x:v>PO-45005</x:v>
      </x:c>
      <x:c r="C10" s="37" t="str">
        <x:v>Prime Facilities LLC</x:v>
      </x:c>
      <x:c r="D10" s="37" t="str">
        <x:v>Facilities</x:v>
      </x:c>
      <x:c r="E10" s="52" t="n">
        <x:v>46085</x:v>
      </x:c>
      <x:c r="F10" s="52" t="n">
        <x:v>46086</x:v>
      </x:c>
      <x:c r="G10" s="52" t="n">
        <x:v>46111</x:v>
      </x:c>
      <x:c r="H10" s="53" t="n">
        <x:v>58300</x:v>
      </x:c>
      <x:c r="I10" s="37" t="str">
        <x:v>High</x:v>
      </x:c>
      <x:c r="J10" s="37" t="str">
        <x:v>Yes</x:v>
      </x:c>
      <x:c r="K10" s="37" t="str">
        <x:v>Recurring maintenance</x:v>
      </x:c>
    </x:row>
    <x:row r="11">
      <x:c r="A11" s="37" t="str">
        <x:v>TXN-1006</x:v>
      </x:c>
      <x:c r="B11" s="37" t="str">
        <x:v>PO-45006</x:v>
      </x:c>
      <x:c r="C11" s="37" t="str">
        <x:v>Vertex Consulting</x:v>
      </x:c>
      <x:c r="D11" s="37" t="str">
        <x:v>Finance</x:v>
      </x:c>
      <x:c r="E11" s="52" t="n">
        <x:v>46091</x:v>
      </x:c>
      <x:c r="F11" s="52" t="n">
        <x:v>46093</x:v>
      </x:c>
      <x:c r="G11" s="52" t="n">
        <x:v>46115</x:v>
      </x:c>
      <x:c r="H11" s="53" t="n">
        <x:v>31000</x:v>
      </x:c>
      <x:c r="I11" s="37" t="str">
        <x:v>Medium</x:v>
      </x:c>
      <x:c r="J11" s="37" t="str">
        <x:v>Yes</x:v>
      </x:c>
      <x:c r="K11" s="37" t="str">
        <x:v>Professional services</x:v>
      </x:c>
    </x:row>
    <x:row r="12">
      <x:c r="A12" s="37" t="str">
        <x:v>TXN-1007</x:v>
      </x:c>
      <x:c r="B12" s="37" t="str">
        <x:v>PO-45007</x:v>
      </x:c>
      <x:c r="C12" s="37" t="str">
        <x:v>Nova Safety Equipment</x:v>
      </x:c>
      <x:c r="D12" s="37" t="str">
        <x:v>HSE</x:v>
      </x:c>
      <x:c r="E12" s="52" t="n">
        <x:v>46113</x:v>
      </x:c>
      <x:c r="F12" s="52" t="n">
        <x:v>46113</x:v>
      </x:c>
      <x:c r="G12" s="52" t="n">
        <x:v>46124</x:v>
      </x:c>
      <x:c r="H12" s="53" t="n">
        <x:v>12750</x:v>
      </x:c>
      <x:c r="I12" s="37" t="str">
        <x:v>Medium</x:v>
      </x:c>
      <x:c r="J12" s="37" t="str">
        <x:v>No</x:v>
      </x:c>
      <x:c r="K12" s="37" t="str"/>
    </x:row>
    <x:row r="13">
      <x:c r="A13" s="37" t="str">
        <x:v>TXN-1008</x:v>
      </x:c>
      <x:c r="B13" s="37" t="str">
        <x:v>PO-45008</x:v>
      </x:c>
      <x:c r="C13" s="37" t="str">
        <x:v>Atlas Equipment Rental</x:v>
      </x:c>
      <x:c r="D13" s="37" t="str">
        <x:v>Projects</x:v>
      </x:c>
      <x:c r="E13" s="52" t="n">
        <x:v>46130</x:v>
      </x:c>
      <x:c r="F13" s="52" t="n">
        <x:v>46133</x:v>
      </x:c>
      <x:c r="G13" s="52" t="n">
        <x:v>46151</x:v>
      </x:c>
      <x:c r="H13" s="53" t="n">
        <x:v>70200</x:v>
      </x:c>
      <x:c r="I13" s="37" t="str">
        <x:v>High</x:v>
      </x:c>
      <x:c r="J13" s="37" t="str">
        <x:v>Yes</x:v>
      </x:c>
      <x:c r="K13" s="37" t="str">
        <x:v>Manual match override</x:v>
      </x:c>
    </x:row>
    <x:row r="14">
      <x:c r="A14" s="37"/>
      <x:c r="B14" s="37"/>
      <x:c r="C14" s="37"/>
      <x:c r="D14" s="37"/>
      <x:c r="E14" s="52"/>
      <x:c r="F14" s="52"/>
      <x:c r="G14" s="52"/>
      <x:c r="H14" s="53"/>
      <x:c r="I14" s="37"/>
      <x:c r="J14" s="37"/>
      <x:c r="K14" s="37"/>
    </x:row>
    <x:row r="15">
      <x:c r="A15" s="37"/>
      <x:c r="B15" s="37"/>
      <x:c r="C15" s="37"/>
      <x:c r="D15" s="37"/>
      <x:c r="E15" s="52"/>
      <x:c r="F15" s="52"/>
      <x:c r="G15" s="52"/>
      <x:c r="H15" s="53"/>
      <x:c r="I15" s="37"/>
      <x:c r="J15" s="37"/>
      <x:c r="K15" s="37"/>
    </x:row>
    <x:row r="16">
      <x:c r="A16" s="37"/>
      <x:c r="B16" s="37"/>
      <x:c r="C16" s="37"/>
      <x:c r="D16" s="37"/>
      <x:c r="E16" s="52"/>
      <x:c r="F16" s="52"/>
      <x:c r="G16" s="52"/>
      <x:c r="H16" s="53"/>
      <x:c r="I16" s="37"/>
      <x:c r="J16" s="37"/>
      <x:c r="K16" s="37"/>
    </x:row>
    <x:row r="17">
      <x:c r="A17" s="37"/>
      <x:c r="B17" s="37"/>
      <x:c r="C17" s="37"/>
      <x:c r="D17" s="37"/>
      <x:c r="E17" s="52"/>
      <x:c r="F17" s="52"/>
      <x:c r="G17" s="52"/>
      <x:c r="H17" s="53"/>
      <x:c r="I17" s="37"/>
      <x:c r="J17" s="37"/>
      <x:c r="K17" s="37"/>
    </x:row>
    <x:row r="18">
      <x:c r="A18" s="37"/>
      <x:c r="B18" s="37"/>
      <x:c r="C18" s="37"/>
      <x:c r="D18" s="37"/>
      <x:c r="E18" s="52"/>
      <x:c r="F18" s="52"/>
      <x:c r="G18" s="52"/>
      <x:c r="H18" s="53"/>
      <x:c r="I18" s="37"/>
      <x:c r="J18" s="37"/>
      <x:c r="K18" s="37"/>
    </x:row>
    <x:row r="19">
      <x:c r="A19" s="37"/>
      <x:c r="B19" s="37"/>
      <x:c r="C19" s="37"/>
      <x:c r="D19" s="37"/>
      <x:c r="E19" s="52"/>
      <x:c r="F19" s="52"/>
      <x:c r="G19" s="52"/>
      <x:c r="H19" s="53"/>
      <x:c r="I19" s="37"/>
      <x:c r="J19" s="37"/>
      <x:c r="K19" s="37"/>
    </x:row>
    <x:row r="20">
      <x:c r="A20" s="37"/>
      <x:c r="B20" s="37"/>
      <x:c r="C20" s="37"/>
      <x:c r="D20" s="37"/>
      <x:c r="E20" s="52"/>
      <x:c r="F20" s="52"/>
      <x:c r="G20" s="52"/>
      <x:c r="H20" s="53"/>
      <x:c r="I20" s="37"/>
      <x:c r="J20" s="37"/>
      <x:c r="K20" s="37"/>
    </x:row>
    <x:row r="21">
      <x:c r="A21" s="37"/>
      <x:c r="B21" s="37"/>
      <x:c r="C21" s="37"/>
      <x:c r="D21" s="37"/>
      <x:c r="E21" s="52"/>
      <x:c r="F21" s="52"/>
      <x:c r="G21" s="52"/>
      <x:c r="H21" s="53"/>
      <x:c r="I21" s="37"/>
      <x:c r="J21" s="37"/>
      <x:c r="K21" s="37"/>
    </x:row>
    <x:row r="22">
      <x:c r="A22" s="37"/>
      <x:c r="B22" s="37"/>
      <x:c r="C22" s="37"/>
      <x:c r="D22" s="37"/>
      <x:c r="E22" s="52"/>
      <x:c r="F22" s="52"/>
      <x:c r="G22" s="52"/>
      <x:c r="H22" s="53"/>
      <x:c r="I22" s="37"/>
      <x:c r="J22" s="37"/>
      <x:c r="K22" s="37"/>
    </x:row>
    <x:row r="23">
      <x:c r="A23" s="37"/>
      <x:c r="B23" s="37"/>
      <x:c r="C23" s="37"/>
      <x:c r="D23" s="37"/>
      <x:c r="E23" s="52"/>
      <x:c r="F23" s="52"/>
      <x:c r="G23" s="52"/>
      <x:c r="H23" s="53"/>
      <x:c r="I23" s="37"/>
      <x:c r="J23" s="37"/>
      <x:c r="K23" s="37"/>
    </x:row>
    <x:row r="24">
      <x:c r="A24" s="37"/>
      <x:c r="B24" s="37"/>
      <x:c r="C24" s="37"/>
      <x:c r="D24" s="37"/>
      <x:c r="E24" s="52"/>
      <x:c r="F24" s="52"/>
      <x:c r="G24" s="52"/>
      <x:c r="H24" s="53"/>
      <x:c r="I24" s="37"/>
      <x:c r="J24" s="37"/>
      <x:c r="K24" s="37"/>
    </x:row>
    <x:row r="25">
      <x:c r="A25" s="37"/>
      <x:c r="B25" s="37"/>
      <x:c r="C25" s="37"/>
      <x:c r="D25" s="37"/>
      <x:c r="E25" s="52"/>
      <x:c r="F25" s="52"/>
      <x:c r="G25" s="52"/>
      <x:c r="H25" s="53"/>
      <x:c r="I25" s="37"/>
      <x:c r="J25" s="37"/>
      <x:c r="K25" s="37"/>
    </x:row>
    <x:row r="26">
      <x:c r="A26" s="37"/>
      <x:c r="B26" s="37"/>
      <x:c r="C26" s="37"/>
      <x:c r="D26" s="37"/>
      <x:c r="E26" s="52"/>
      <x:c r="F26" s="52"/>
      <x:c r="G26" s="52"/>
      <x:c r="H26" s="53"/>
      <x:c r="I26" s="37"/>
      <x:c r="J26" s="37"/>
      <x:c r="K26" s="37"/>
    </x:row>
    <x:row r="27">
      <x:c r="A27" s="37"/>
      <x:c r="B27" s="37"/>
      <x:c r="C27" s="37"/>
      <x:c r="D27" s="37"/>
      <x:c r="E27" s="52"/>
      <x:c r="F27" s="52"/>
      <x:c r="G27" s="52"/>
      <x:c r="H27" s="53"/>
      <x:c r="I27" s="37"/>
      <x:c r="J27" s="37"/>
      <x:c r="K27" s="37"/>
    </x:row>
    <x:row r="28">
      <x:c r="A28" s="37"/>
      <x:c r="B28" s="37"/>
      <x:c r="C28" s="37"/>
      <x:c r="D28" s="37"/>
      <x:c r="E28" s="52"/>
      <x:c r="F28" s="52"/>
      <x:c r="G28" s="52"/>
      <x:c r="H28" s="53"/>
      <x:c r="I28" s="37"/>
      <x:c r="J28" s="37"/>
      <x:c r="K28" s="37"/>
    </x:row>
    <x:row r="29">
      <x:c r="A29" s="37"/>
      <x:c r="B29" s="37"/>
      <x:c r="C29" s="37"/>
      <x:c r="D29" s="37"/>
      <x:c r="E29" s="52"/>
      <x:c r="F29" s="52"/>
      <x:c r="G29" s="52"/>
      <x:c r="H29" s="53"/>
      <x:c r="I29" s="37"/>
      <x:c r="J29" s="37"/>
      <x:c r="K29" s="37"/>
    </x:row>
    <x:row r="30">
      <x:c r="A30" s="37"/>
      <x:c r="B30" s="37"/>
      <x:c r="C30" s="37"/>
      <x:c r="D30" s="37"/>
      <x:c r="E30" s="52"/>
      <x:c r="F30" s="52"/>
      <x:c r="G30" s="52"/>
      <x:c r="H30" s="53"/>
      <x:c r="I30" s="37"/>
      <x:c r="J30" s="37"/>
      <x:c r="K30" s="37"/>
    </x:row>
    <x:row r="31">
      <x:c r="A31" s="37"/>
      <x:c r="B31" s="37"/>
      <x:c r="C31" s="37"/>
      <x:c r="D31" s="37"/>
      <x:c r="E31" s="52"/>
      <x:c r="F31" s="52"/>
      <x:c r="G31" s="52"/>
      <x:c r="H31" s="53"/>
      <x:c r="I31" s="37"/>
      <x:c r="J31" s="37"/>
      <x:c r="K31" s="37"/>
    </x:row>
    <x:row r="32">
      <x:c r="A32" s="37"/>
      <x:c r="B32" s="37"/>
      <x:c r="C32" s="37"/>
      <x:c r="D32" s="37"/>
      <x:c r="E32" s="52"/>
      <x:c r="F32" s="52"/>
      <x:c r="G32" s="52"/>
      <x:c r="H32" s="53"/>
      <x:c r="I32" s="37"/>
      <x:c r="J32" s="37"/>
      <x:c r="K32" s="37"/>
    </x:row>
    <x:row r="33">
      <x:c r="A33" s="37"/>
      <x:c r="B33" s="37"/>
      <x:c r="C33" s="37"/>
      <x:c r="D33" s="37"/>
      <x:c r="E33" s="52"/>
      <x:c r="F33" s="52"/>
      <x:c r="G33" s="52"/>
      <x:c r="H33" s="53"/>
      <x:c r="I33" s="37"/>
      <x:c r="J33" s="37"/>
      <x:c r="K33" s="37"/>
    </x:row>
    <x:row r="34">
      <x:c r="A34" s="37"/>
      <x:c r="B34" s="37"/>
      <x:c r="C34" s="37"/>
      <x:c r="D34" s="37"/>
      <x:c r="E34" s="52"/>
      <x:c r="F34" s="52"/>
      <x:c r="G34" s="52"/>
      <x:c r="H34" s="53"/>
      <x:c r="I34" s="37"/>
      <x:c r="J34" s="37"/>
      <x:c r="K34" s="37"/>
    </x:row>
    <x:row r="35">
      <x:c r="A35" s="37"/>
      <x:c r="B35" s="37"/>
      <x:c r="C35" s="37"/>
      <x:c r="D35" s="37"/>
      <x:c r="E35" s="52"/>
      <x:c r="F35" s="52"/>
      <x:c r="G35" s="52"/>
      <x:c r="H35" s="53"/>
      <x:c r="I35" s="37"/>
      <x:c r="J35" s="37"/>
      <x:c r="K35" s="37"/>
    </x:row>
    <x:row r="36">
      <x:c r="A36" s="37"/>
      <x:c r="B36" s="37"/>
      <x:c r="C36" s="37"/>
      <x:c r="D36" s="37"/>
      <x:c r="E36" s="52"/>
      <x:c r="F36" s="52"/>
      <x:c r="G36" s="52"/>
      <x:c r="H36" s="53"/>
      <x:c r="I36" s="37"/>
      <x:c r="J36" s="37"/>
      <x:c r="K36" s="37"/>
    </x:row>
    <x:row r="37">
      <x:c r="A37" s="37"/>
      <x:c r="B37" s="37"/>
      <x:c r="C37" s="37"/>
      <x:c r="D37" s="37"/>
      <x:c r="E37" s="52"/>
      <x:c r="F37" s="52"/>
      <x:c r="G37" s="52"/>
      <x:c r="H37" s="53"/>
      <x:c r="I37" s="37"/>
      <x:c r="J37" s="37"/>
      <x:c r="K37" s="37"/>
    </x:row>
    <x:row r="38">
      <x:c r="A38" s="37"/>
      <x:c r="B38" s="37"/>
      <x:c r="C38" s="37"/>
      <x:c r="D38" s="37"/>
      <x:c r="E38" s="52"/>
      <x:c r="F38" s="52"/>
      <x:c r="G38" s="52"/>
      <x:c r="H38" s="53"/>
      <x:c r="I38" s="37"/>
      <x:c r="J38" s="37"/>
      <x:c r="K38" s="37"/>
    </x:row>
    <x:row r="39">
      <x:c r="A39" s="37"/>
      <x:c r="B39" s="37"/>
      <x:c r="C39" s="37"/>
      <x:c r="D39" s="37"/>
      <x:c r="E39" s="52"/>
      <x:c r="F39" s="52"/>
      <x:c r="G39" s="52"/>
      <x:c r="H39" s="53"/>
      <x:c r="I39" s="37"/>
      <x:c r="J39" s="37"/>
      <x:c r="K39" s="37"/>
    </x:row>
    <x:row r="40">
      <x:c r="A40" s="37"/>
      <x:c r="B40" s="37"/>
      <x:c r="C40" s="37"/>
      <x:c r="D40" s="37"/>
      <x:c r="E40" s="52"/>
      <x:c r="F40" s="52"/>
      <x:c r="G40" s="52"/>
      <x:c r="H40" s="53"/>
      <x:c r="I40" s="37"/>
      <x:c r="J40" s="37"/>
      <x:c r="K40" s="37"/>
    </x:row>
    <x:row r="41">
      <x:c r="A41" s="37"/>
      <x:c r="B41" s="37"/>
      <x:c r="C41" s="37"/>
      <x:c r="D41" s="37"/>
      <x:c r="E41" s="52"/>
      <x:c r="F41" s="52"/>
      <x:c r="G41" s="52"/>
      <x:c r="H41" s="53"/>
      <x:c r="I41" s="37"/>
      <x:c r="J41" s="37"/>
      <x:c r="K41" s="37"/>
    </x:row>
    <x:row r="42">
      <x:c r="A42" s="37"/>
      <x:c r="B42" s="37"/>
      <x:c r="C42" s="37"/>
      <x:c r="D42" s="37"/>
      <x:c r="E42" s="52"/>
      <x:c r="F42" s="52"/>
      <x:c r="G42" s="52"/>
      <x:c r="H42" s="53"/>
      <x:c r="I42" s="37"/>
      <x:c r="J42" s="37"/>
      <x:c r="K42" s="37"/>
    </x:row>
    <x:row r="43">
      <x:c r="A43" s="37"/>
      <x:c r="B43" s="37"/>
      <x:c r="C43" s="37"/>
      <x:c r="D43" s="37"/>
      <x:c r="E43" s="52"/>
      <x:c r="F43" s="52"/>
      <x:c r="G43" s="52"/>
      <x:c r="H43" s="53"/>
      <x:c r="I43" s="37"/>
      <x:c r="J43" s="37"/>
      <x:c r="K43" s="37"/>
    </x:row>
    <x:row r="44">
      <x:c r="A44" s="37"/>
      <x:c r="B44" s="37"/>
      <x:c r="C44" s="37"/>
      <x:c r="D44" s="37"/>
      <x:c r="E44" s="52"/>
      <x:c r="F44" s="52"/>
      <x:c r="G44" s="52"/>
      <x:c r="H44" s="53"/>
      <x:c r="I44" s="37"/>
      <x:c r="J44" s="37"/>
      <x:c r="K44" s="37"/>
    </x:row>
    <x:row r="45">
      <x:c r="A45" s="37"/>
      <x:c r="B45" s="37"/>
      <x:c r="C45" s="37"/>
      <x:c r="D45" s="37"/>
      <x:c r="E45" s="52"/>
      <x:c r="F45" s="52"/>
      <x:c r="G45" s="52"/>
      <x:c r="H45" s="53"/>
      <x:c r="I45" s="37"/>
      <x:c r="J45" s="37"/>
      <x:c r="K45" s="37"/>
    </x:row>
    <x:row r="46">
      <x:c r="A46" s="37"/>
      <x:c r="B46" s="37"/>
      <x:c r="C46" s="37"/>
      <x:c r="D46" s="37"/>
      <x:c r="E46" s="52"/>
      <x:c r="F46" s="52"/>
      <x:c r="G46" s="52"/>
      <x:c r="H46" s="53"/>
      <x:c r="I46" s="37"/>
      <x:c r="J46" s="37"/>
      <x:c r="K46" s="37"/>
    </x:row>
    <x:row r="47">
      <x:c r="A47" s="37"/>
      <x:c r="B47" s="37"/>
      <x:c r="C47" s="37"/>
      <x:c r="D47" s="37"/>
      <x:c r="E47" s="52"/>
      <x:c r="F47" s="52"/>
      <x:c r="G47" s="52"/>
      <x:c r="H47" s="53"/>
      <x:c r="I47" s="37"/>
      <x:c r="J47" s="37"/>
      <x:c r="K47" s="37"/>
    </x:row>
    <x:row r="48">
      <x:c r="A48" s="37"/>
      <x:c r="B48" s="37"/>
      <x:c r="C48" s="37"/>
      <x:c r="D48" s="37"/>
      <x:c r="E48" s="52"/>
      <x:c r="F48" s="52"/>
      <x:c r="G48" s="52"/>
      <x:c r="H48" s="53"/>
      <x:c r="I48" s="37"/>
      <x:c r="J48" s="37"/>
      <x:c r="K48" s="37"/>
    </x:row>
    <x:row r="49">
      <x:c r="A49" s="37"/>
      <x:c r="B49" s="37"/>
      <x:c r="C49" s="37"/>
      <x:c r="D49" s="37"/>
      <x:c r="E49" s="52"/>
      <x:c r="F49" s="52"/>
      <x:c r="G49" s="52"/>
      <x:c r="H49" s="53"/>
      <x:c r="I49" s="37"/>
      <x:c r="J49" s="37"/>
      <x:c r="K49" s="37"/>
    </x:row>
    <x:row r="50">
      <x:c r="A50" s="37"/>
      <x:c r="B50" s="37"/>
      <x:c r="C50" s="37"/>
      <x:c r="D50" s="37"/>
      <x:c r="E50" s="52"/>
      <x:c r="F50" s="52"/>
      <x:c r="G50" s="52"/>
      <x:c r="H50" s="53"/>
      <x:c r="I50" s="37"/>
      <x:c r="J50" s="37"/>
      <x:c r="K50" s="37"/>
    </x:row>
    <x:row r="51">
      <x:c r="A51" s="37"/>
      <x:c r="B51" s="37"/>
      <x:c r="C51" s="37"/>
      <x:c r="D51" s="37"/>
      <x:c r="E51" s="52"/>
      <x:c r="F51" s="52"/>
      <x:c r="G51" s="52"/>
      <x:c r="H51" s="53"/>
      <x:c r="I51" s="37"/>
      <x:c r="J51" s="37"/>
      <x:c r="K51" s="37"/>
    </x:row>
    <x:row r="52">
      <x:c r="A52" s="37"/>
      <x:c r="B52" s="37"/>
      <x:c r="C52" s="37"/>
      <x:c r="D52" s="37"/>
      <x:c r="E52" s="52"/>
      <x:c r="F52" s="52"/>
      <x:c r="G52" s="52"/>
      <x:c r="H52" s="53"/>
      <x:c r="I52" s="37"/>
      <x:c r="J52" s="37"/>
      <x:c r="K52" s="37"/>
    </x:row>
    <x:row r="53">
      <x:c r="A53" s="37"/>
      <x:c r="B53" s="37"/>
      <x:c r="C53" s="37"/>
      <x:c r="D53" s="37"/>
      <x:c r="E53" s="52"/>
      <x:c r="F53" s="52"/>
      <x:c r="G53" s="52"/>
      <x:c r="H53" s="53"/>
      <x:c r="I53" s="37"/>
      <x:c r="J53" s="37"/>
      <x:c r="K53" s="37"/>
    </x:row>
    <x:row r="54">
      <x:c r="A54" s="37"/>
      <x:c r="B54" s="37"/>
      <x:c r="C54" s="37"/>
      <x:c r="D54" s="37"/>
      <x:c r="E54" s="52"/>
      <x:c r="F54" s="52"/>
      <x:c r="G54" s="52"/>
      <x:c r="H54" s="53"/>
      <x:c r="I54" s="37"/>
      <x:c r="J54" s="37"/>
      <x:c r="K54" s="37"/>
    </x:row>
    <x:row r="55">
      <x:c r="A55" s="37"/>
      <x:c r="B55" s="37"/>
      <x:c r="C55" s="37"/>
      <x:c r="D55" s="37"/>
      <x:c r="E55" s="52"/>
      <x:c r="F55" s="52"/>
      <x:c r="G55" s="52"/>
      <x:c r="H55" s="53"/>
      <x:c r="I55" s="37"/>
      <x:c r="J55" s="37"/>
      <x:c r="K55" s="37"/>
    </x:row>
    <x:row r="56">
      <x:c r="A56" s="37"/>
      <x:c r="B56" s="37"/>
      <x:c r="C56" s="37"/>
      <x:c r="D56" s="37"/>
      <x:c r="E56" s="52"/>
      <x:c r="F56" s="52"/>
      <x:c r="G56" s="52"/>
      <x:c r="H56" s="53"/>
      <x:c r="I56" s="37"/>
      <x:c r="J56" s="37"/>
      <x:c r="K56" s="37"/>
    </x:row>
    <x:row r="57">
      <x:c r="A57" s="37"/>
      <x:c r="B57" s="37"/>
      <x:c r="C57" s="37"/>
      <x:c r="D57" s="37"/>
      <x:c r="E57" s="52"/>
      <x:c r="F57" s="52"/>
      <x:c r="G57" s="52"/>
      <x:c r="H57" s="53"/>
      <x:c r="I57" s="37"/>
      <x:c r="J57" s="37"/>
      <x:c r="K57" s="37"/>
    </x:row>
    <x:row r="58">
      <x:c r="A58" s="37"/>
      <x:c r="B58" s="37"/>
      <x:c r="C58" s="37"/>
      <x:c r="D58" s="37"/>
      <x:c r="E58" s="52"/>
      <x:c r="F58" s="52"/>
      <x:c r="G58" s="52"/>
      <x:c r="H58" s="53"/>
      <x:c r="I58" s="37"/>
      <x:c r="J58" s="37"/>
      <x:c r="K58" s="37"/>
    </x:row>
    <x:row r="59">
      <x:c r="A59" s="37"/>
      <x:c r="B59" s="37"/>
      <x:c r="C59" s="37"/>
      <x:c r="D59" s="37"/>
      <x:c r="E59" s="52"/>
      <x:c r="F59" s="52"/>
      <x:c r="G59" s="52"/>
      <x:c r="H59" s="53"/>
      <x:c r="I59" s="37"/>
      <x:c r="J59" s="37"/>
      <x:c r="K59" s="37"/>
    </x:row>
    <x:row r="60">
      <x:c r="A60" s="37"/>
      <x:c r="B60" s="37"/>
      <x:c r="C60" s="37"/>
      <x:c r="D60" s="37"/>
      <x:c r="E60" s="52"/>
      <x:c r="F60" s="52"/>
      <x:c r="G60" s="52"/>
      <x:c r="H60" s="53"/>
      <x:c r="I60" s="37"/>
      <x:c r="J60" s="37"/>
      <x:c r="K60" s="37"/>
    </x:row>
    <x:row r="61">
      <x:c r="A61" s="37"/>
      <x:c r="B61" s="37"/>
      <x:c r="C61" s="37"/>
      <x:c r="D61" s="37"/>
      <x:c r="E61" s="52"/>
      <x:c r="F61" s="52"/>
      <x:c r="G61" s="52"/>
      <x:c r="H61" s="53"/>
      <x:c r="I61" s="37"/>
      <x:c r="J61" s="37"/>
      <x:c r="K61" s="37"/>
    </x:row>
    <x:row r="62">
      <x:c r="A62" s="37"/>
      <x:c r="B62" s="37"/>
      <x:c r="C62" s="37"/>
      <x:c r="D62" s="37"/>
      <x:c r="E62" s="52"/>
      <x:c r="F62" s="52"/>
      <x:c r="G62" s="52"/>
      <x:c r="H62" s="53"/>
      <x:c r="I62" s="37"/>
      <x:c r="J62" s="37"/>
      <x:c r="K62" s="37"/>
    </x:row>
    <x:row r="63">
      <x:c r="A63" s="37"/>
      <x:c r="B63" s="37"/>
      <x:c r="C63" s="37"/>
      <x:c r="D63" s="37"/>
      <x:c r="E63" s="52"/>
      <x:c r="F63" s="52"/>
      <x:c r="G63" s="52"/>
      <x:c r="H63" s="53"/>
      <x:c r="I63" s="37"/>
      <x:c r="J63" s="37"/>
      <x:c r="K63" s="37"/>
    </x:row>
    <x:row r="64">
      <x:c r="A64" s="37"/>
      <x:c r="B64" s="37"/>
      <x:c r="C64" s="37"/>
      <x:c r="D64" s="37"/>
      <x:c r="E64" s="52"/>
      <x:c r="F64" s="52"/>
      <x:c r="G64" s="52"/>
      <x:c r="H64" s="53"/>
      <x:c r="I64" s="37"/>
      <x:c r="J64" s="37"/>
      <x:c r="K64" s="37"/>
    </x:row>
    <x:row r="65">
      <x:c r="A65" s="37"/>
      <x:c r="B65" s="37"/>
      <x:c r="C65" s="37"/>
      <x:c r="D65" s="37"/>
      <x:c r="E65" s="52"/>
      <x:c r="F65" s="52"/>
      <x:c r="G65" s="52"/>
      <x:c r="H65" s="53"/>
      <x:c r="I65" s="37"/>
      <x:c r="J65" s="37"/>
      <x:c r="K65" s="37"/>
    </x:row>
    <x:row r="66">
      <x:c r="A66" s="37"/>
      <x:c r="B66" s="37"/>
      <x:c r="C66" s="37"/>
      <x:c r="D66" s="37"/>
      <x:c r="E66" s="52"/>
      <x:c r="F66" s="52"/>
      <x:c r="G66" s="52"/>
      <x:c r="H66" s="53"/>
      <x:c r="I66" s="37"/>
      <x:c r="J66" s="37"/>
      <x:c r="K66" s="37"/>
    </x:row>
    <x:row r="67">
      <x:c r="A67" s="37"/>
      <x:c r="B67" s="37"/>
      <x:c r="C67" s="37"/>
      <x:c r="D67" s="37"/>
      <x:c r="E67" s="52"/>
      <x:c r="F67" s="52"/>
      <x:c r="G67" s="52"/>
      <x:c r="H67" s="53"/>
      <x:c r="I67" s="37"/>
      <x:c r="J67" s="37"/>
      <x:c r="K67" s="37"/>
    </x:row>
    <x:row r="68">
      <x:c r="A68" s="37"/>
      <x:c r="B68" s="37"/>
      <x:c r="C68" s="37"/>
      <x:c r="D68" s="37"/>
      <x:c r="E68" s="52"/>
      <x:c r="F68" s="52"/>
      <x:c r="G68" s="52"/>
      <x:c r="H68" s="53"/>
      <x:c r="I68" s="37"/>
      <x:c r="J68" s="37"/>
      <x:c r="K68" s="37"/>
    </x:row>
    <x:row r="69">
      <x:c r="A69" s="37"/>
      <x:c r="B69" s="37"/>
      <x:c r="C69" s="37"/>
      <x:c r="D69" s="37"/>
      <x:c r="E69" s="52"/>
      <x:c r="F69" s="52"/>
      <x:c r="G69" s="52"/>
      <x:c r="H69" s="53"/>
      <x:c r="I69" s="37"/>
      <x:c r="J69" s="37"/>
      <x:c r="K69" s="37"/>
    </x:row>
    <x:row r="70">
      <x:c r="A70" s="37"/>
      <x:c r="B70" s="37"/>
      <x:c r="C70" s="37"/>
      <x:c r="D70" s="37"/>
      <x:c r="E70" s="52"/>
      <x:c r="F70" s="52"/>
      <x:c r="G70" s="52"/>
      <x:c r="H70" s="53"/>
      <x:c r="I70" s="37"/>
      <x:c r="J70" s="37"/>
      <x:c r="K70" s="37"/>
    </x:row>
    <x:row r="71">
      <x:c r="A71" s="37"/>
      <x:c r="B71" s="37"/>
      <x:c r="C71" s="37"/>
      <x:c r="D71" s="37"/>
      <x:c r="E71" s="52"/>
      <x:c r="F71" s="52"/>
      <x:c r="G71" s="52"/>
      <x:c r="H71" s="53"/>
      <x:c r="I71" s="37"/>
      <x:c r="J71" s="37"/>
      <x:c r="K71" s="37"/>
    </x:row>
    <x:row r="72">
      <x:c r="A72" s="37"/>
      <x:c r="B72" s="37"/>
      <x:c r="C72" s="37"/>
      <x:c r="D72" s="37"/>
      <x:c r="E72" s="52"/>
      <x:c r="F72" s="52"/>
      <x:c r="G72" s="52"/>
      <x:c r="H72" s="53"/>
      <x:c r="I72" s="37"/>
      <x:c r="J72" s="37"/>
      <x:c r="K72" s="37"/>
    </x:row>
    <x:row r="73">
      <x:c r="A73" s="37"/>
      <x:c r="B73" s="37"/>
      <x:c r="C73" s="37"/>
      <x:c r="D73" s="37"/>
      <x:c r="E73" s="52"/>
      <x:c r="F73" s="52"/>
      <x:c r="G73" s="52"/>
      <x:c r="H73" s="53"/>
      <x:c r="I73" s="37"/>
      <x:c r="J73" s="37"/>
      <x:c r="K73" s="37"/>
    </x:row>
    <x:row r="74">
      <x:c r="A74" s="37"/>
      <x:c r="B74" s="37"/>
      <x:c r="C74" s="37"/>
      <x:c r="D74" s="37"/>
      <x:c r="E74" s="52"/>
      <x:c r="F74" s="52"/>
      <x:c r="G74" s="52"/>
      <x:c r="H74" s="53"/>
      <x:c r="I74" s="37"/>
      <x:c r="J74" s="37"/>
      <x:c r="K74" s="37"/>
    </x:row>
    <x:row r="75">
      <x:c r="A75" s="37"/>
      <x:c r="B75" s="37"/>
      <x:c r="C75" s="37"/>
      <x:c r="D75" s="37"/>
      <x:c r="E75" s="52"/>
      <x:c r="F75" s="52"/>
      <x:c r="G75" s="52"/>
      <x:c r="H75" s="53"/>
      <x:c r="I75" s="37"/>
      <x:c r="J75" s="37"/>
      <x:c r="K75" s="37"/>
    </x:row>
    <x:row r="76">
      <x:c r="A76" s="37"/>
      <x:c r="B76" s="37"/>
      <x:c r="C76" s="37"/>
      <x:c r="D76" s="37"/>
      <x:c r="E76" s="52"/>
      <x:c r="F76" s="52"/>
      <x:c r="G76" s="52"/>
      <x:c r="H76" s="53"/>
      <x:c r="I76" s="37"/>
      <x:c r="J76" s="37"/>
      <x:c r="K76" s="37"/>
    </x:row>
    <x:row r="77">
      <x:c r="A77" s="37"/>
      <x:c r="B77" s="37"/>
      <x:c r="C77" s="37"/>
      <x:c r="D77" s="37"/>
      <x:c r="E77" s="52"/>
      <x:c r="F77" s="52"/>
      <x:c r="G77" s="52"/>
      <x:c r="H77" s="53"/>
      <x:c r="I77" s="37"/>
      <x:c r="J77" s="37"/>
      <x:c r="K77" s="37"/>
    </x:row>
    <x:row r="78">
      <x:c r="A78" s="37"/>
      <x:c r="B78" s="37"/>
      <x:c r="C78" s="37"/>
      <x:c r="D78" s="37"/>
      <x:c r="E78" s="52"/>
      <x:c r="F78" s="52"/>
      <x:c r="G78" s="52"/>
      <x:c r="H78" s="53"/>
      <x:c r="I78" s="37"/>
      <x:c r="J78" s="37"/>
      <x:c r="K78" s="37"/>
    </x:row>
    <x:row r="79">
      <x:c r="A79" s="37"/>
      <x:c r="B79" s="37"/>
      <x:c r="C79" s="37"/>
      <x:c r="D79" s="37"/>
      <x:c r="E79" s="52"/>
      <x:c r="F79" s="52"/>
      <x:c r="G79" s="52"/>
      <x:c r="H79" s="53"/>
      <x:c r="I79" s="37"/>
      <x:c r="J79" s="37"/>
      <x:c r="K79" s="37"/>
    </x:row>
    <x:row r="80">
      <x:c r="A80" s="37"/>
      <x:c r="B80" s="37"/>
      <x:c r="C80" s="37"/>
      <x:c r="D80" s="37"/>
      <x:c r="E80" s="52"/>
      <x:c r="F80" s="52"/>
      <x:c r="G80" s="52"/>
      <x:c r="H80" s="53"/>
      <x:c r="I80" s="37"/>
      <x:c r="J80" s="37"/>
      <x:c r="K80" s="37"/>
    </x:row>
    <x:row r="81">
      <x:c r="A81" s="37"/>
      <x:c r="B81" s="37"/>
      <x:c r="C81" s="37"/>
      <x:c r="D81" s="37"/>
      <x:c r="E81" s="52"/>
      <x:c r="F81" s="52"/>
      <x:c r="G81" s="52"/>
      <x:c r="H81" s="53"/>
      <x:c r="I81" s="37"/>
      <x:c r="J81" s="37"/>
      <x:c r="K81" s="37"/>
    </x:row>
    <x:row r="82">
      <x:c r="A82" s="37"/>
      <x:c r="B82" s="37"/>
      <x:c r="C82" s="37"/>
      <x:c r="D82" s="37"/>
      <x:c r="E82" s="52"/>
      <x:c r="F82" s="52"/>
      <x:c r="G82" s="52"/>
      <x:c r="H82" s="53"/>
      <x:c r="I82" s="37"/>
      <x:c r="J82" s="37"/>
      <x:c r="K82" s="37"/>
    </x:row>
    <x:row r="83">
      <x:c r="A83" s="37"/>
      <x:c r="B83" s="37"/>
      <x:c r="C83" s="37"/>
      <x:c r="D83" s="37"/>
      <x:c r="E83" s="52"/>
      <x:c r="F83" s="52"/>
      <x:c r="G83" s="52"/>
      <x:c r="H83" s="53"/>
      <x:c r="I83" s="37"/>
      <x:c r="J83" s="37"/>
      <x:c r="K83" s="37"/>
    </x:row>
    <x:row r="84">
      <x:c r="A84" s="37"/>
      <x:c r="B84" s="37"/>
      <x:c r="C84" s="37"/>
      <x:c r="D84" s="37"/>
      <x:c r="E84" s="52"/>
      <x:c r="F84" s="52"/>
      <x:c r="G84" s="52"/>
      <x:c r="H84" s="53"/>
      <x:c r="I84" s="37"/>
      <x:c r="J84" s="37"/>
      <x:c r="K84" s="37"/>
    </x:row>
    <x:row r="85">
      <x:c r="A85" s="37"/>
      <x:c r="B85" s="37"/>
      <x:c r="C85" s="37"/>
      <x:c r="D85" s="37"/>
      <x:c r="E85" s="52"/>
      <x:c r="F85" s="52"/>
      <x:c r="G85" s="52"/>
      <x:c r="H85" s="53"/>
      <x:c r="I85" s="37"/>
      <x:c r="J85" s="37"/>
      <x:c r="K85" s="37"/>
    </x:row>
    <x:row r="86">
      <x:c r="A86" s="37"/>
      <x:c r="B86" s="37"/>
      <x:c r="C86" s="37"/>
      <x:c r="D86" s="37"/>
      <x:c r="E86" s="52"/>
      <x:c r="F86" s="52"/>
      <x:c r="G86" s="52"/>
      <x:c r="H86" s="53"/>
      <x:c r="I86" s="37"/>
      <x:c r="J86" s="37"/>
      <x:c r="K86" s="37"/>
    </x:row>
    <x:row r="87">
      <x:c r="A87" s="37"/>
      <x:c r="B87" s="37"/>
      <x:c r="C87" s="37"/>
      <x:c r="D87" s="37"/>
      <x:c r="E87" s="52"/>
      <x:c r="F87" s="52"/>
      <x:c r="G87" s="52"/>
      <x:c r="H87" s="53"/>
      <x:c r="I87" s="37"/>
      <x:c r="J87" s="37"/>
      <x:c r="K87" s="37"/>
    </x:row>
    <x:row r="88">
      <x:c r="A88" s="37"/>
      <x:c r="B88" s="37"/>
      <x:c r="C88" s="37"/>
      <x:c r="D88" s="37"/>
      <x:c r="E88" s="52"/>
      <x:c r="F88" s="52"/>
      <x:c r="G88" s="52"/>
      <x:c r="H88" s="53"/>
      <x:c r="I88" s="37"/>
      <x:c r="J88" s="37"/>
      <x:c r="K88" s="37"/>
    </x:row>
    <x:row r="89">
      <x:c r="A89" s="37"/>
      <x:c r="B89" s="37"/>
      <x:c r="C89" s="37"/>
      <x:c r="D89" s="37"/>
      <x:c r="E89" s="52"/>
      <x:c r="F89" s="52"/>
      <x:c r="G89" s="52"/>
      <x:c r="H89" s="53"/>
      <x:c r="I89" s="37"/>
      <x:c r="J89" s="37"/>
      <x:c r="K89" s="37"/>
    </x:row>
    <x:row r="90">
      <x:c r="A90" s="37"/>
      <x:c r="B90" s="37"/>
      <x:c r="C90" s="37"/>
      <x:c r="D90" s="37"/>
      <x:c r="E90" s="52"/>
      <x:c r="F90" s="52"/>
      <x:c r="G90" s="52"/>
      <x:c r="H90" s="53"/>
      <x:c r="I90" s="37"/>
      <x:c r="J90" s="37"/>
      <x:c r="K90" s="37"/>
    </x:row>
    <x:row r="91">
      <x:c r="A91" s="37"/>
      <x:c r="B91" s="37"/>
      <x:c r="C91" s="37"/>
      <x:c r="D91" s="37"/>
      <x:c r="E91" s="52"/>
      <x:c r="F91" s="52"/>
      <x:c r="G91" s="52"/>
      <x:c r="H91" s="53"/>
      <x:c r="I91" s="37"/>
      <x:c r="J91" s="37"/>
      <x:c r="K91" s="37"/>
    </x:row>
    <x:row r="92">
      <x:c r="A92" s="37"/>
      <x:c r="B92" s="37"/>
      <x:c r="C92" s="37"/>
      <x:c r="D92" s="37"/>
      <x:c r="E92" s="52"/>
      <x:c r="F92" s="52"/>
      <x:c r="G92" s="52"/>
      <x:c r="H92" s="53"/>
      <x:c r="I92" s="37"/>
      <x:c r="J92" s="37"/>
      <x:c r="K92" s="37"/>
    </x:row>
    <x:row r="93">
      <x:c r="A93" s="37"/>
      <x:c r="B93" s="37"/>
      <x:c r="C93" s="37"/>
      <x:c r="D93" s="37"/>
      <x:c r="E93" s="52"/>
      <x:c r="F93" s="52"/>
      <x:c r="G93" s="52"/>
      <x:c r="H93" s="53"/>
      <x:c r="I93" s="37"/>
      <x:c r="J93" s="37"/>
      <x:c r="K93" s="37"/>
    </x:row>
    <x:row r="94">
      <x:c r="A94" s="37"/>
      <x:c r="B94" s="37"/>
      <x:c r="C94" s="37"/>
      <x:c r="D94" s="37"/>
      <x:c r="E94" s="52"/>
      <x:c r="F94" s="52"/>
      <x:c r="G94" s="52"/>
      <x:c r="H94" s="53"/>
      <x:c r="I94" s="37"/>
      <x:c r="J94" s="37"/>
      <x:c r="K94" s="37"/>
    </x:row>
    <x:row r="95">
      <x:c r="A95" s="37"/>
      <x:c r="B95" s="37"/>
      <x:c r="C95" s="37"/>
      <x:c r="D95" s="37"/>
      <x:c r="E95" s="52"/>
      <x:c r="F95" s="52"/>
      <x:c r="G95" s="52"/>
      <x:c r="H95" s="53"/>
      <x:c r="I95" s="37"/>
      <x:c r="J95" s="37"/>
      <x:c r="K95" s="37"/>
    </x:row>
    <x:row r="96">
      <x:c r="A96" s="37"/>
      <x:c r="B96" s="37"/>
      <x:c r="C96" s="37"/>
      <x:c r="D96" s="37"/>
      <x:c r="E96" s="52"/>
      <x:c r="F96" s="52"/>
      <x:c r="G96" s="52"/>
      <x:c r="H96" s="53"/>
      <x:c r="I96" s="37"/>
      <x:c r="J96" s="37"/>
      <x:c r="K96" s="37"/>
    </x:row>
    <x:row r="97">
      <x:c r="A97" s="37"/>
      <x:c r="B97" s="37"/>
      <x:c r="C97" s="37"/>
      <x:c r="D97" s="37"/>
      <x:c r="E97" s="52"/>
      <x:c r="F97" s="52"/>
      <x:c r="G97" s="52"/>
      <x:c r="H97" s="53"/>
      <x:c r="I97" s="37"/>
      <x:c r="J97" s="37"/>
      <x:c r="K97" s="37"/>
    </x:row>
    <x:row r="98">
      <x:c r="A98" s="37"/>
      <x:c r="B98" s="37"/>
      <x:c r="C98" s="37"/>
      <x:c r="D98" s="37"/>
      <x:c r="E98" s="52"/>
      <x:c r="F98" s="52"/>
      <x:c r="G98" s="52"/>
      <x:c r="H98" s="53"/>
      <x:c r="I98" s="37"/>
      <x:c r="J98" s="37"/>
      <x:c r="K98" s="37"/>
    </x:row>
    <x:row r="99">
      <x:c r="A99" s="37"/>
      <x:c r="B99" s="37"/>
      <x:c r="C99" s="37"/>
      <x:c r="D99" s="37"/>
      <x:c r="E99" s="52"/>
      <x:c r="F99" s="52"/>
      <x:c r="G99" s="52"/>
      <x:c r="H99" s="53"/>
      <x:c r="I99" s="37"/>
      <x:c r="J99" s="37"/>
      <x:c r="K99" s="37"/>
    </x:row>
    <x:row r="100">
      <x:c r="A100" s="37"/>
      <x:c r="B100" s="37"/>
      <x:c r="C100" s="37"/>
      <x:c r="D100" s="37"/>
      <x:c r="E100" s="52"/>
      <x:c r="F100" s="52"/>
      <x:c r="G100" s="52"/>
      <x:c r="H100" s="53"/>
      <x:c r="I100" s="37"/>
      <x:c r="J100" s="37"/>
      <x:c r="K100" s="37"/>
    </x:row>
    <x:row r="101">
      <x:c r="A101" s="37"/>
      <x:c r="B101" s="37"/>
      <x:c r="C101" s="37"/>
      <x:c r="D101" s="37"/>
      <x:c r="E101" s="52"/>
      <x:c r="F101" s="52"/>
      <x:c r="G101" s="52"/>
      <x:c r="H101" s="53"/>
      <x:c r="I101" s="37"/>
      <x:c r="J101" s="37"/>
      <x:c r="K101" s="37"/>
    </x:row>
    <x:row r="102">
      <x:c r="A102" s="37"/>
      <x:c r="B102" s="37"/>
      <x:c r="C102" s="37"/>
      <x:c r="D102" s="37"/>
      <x:c r="E102" s="52"/>
      <x:c r="F102" s="52"/>
      <x:c r="G102" s="52"/>
      <x:c r="H102" s="53"/>
      <x:c r="I102" s="37"/>
      <x:c r="J102" s="37"/>
      <x:c r="K102" s="37"/>
    </x:row>
    <x:row r="103">
      <x:c r="A103" s="37"/>
      <x:c r="B103" s="37"/>
      <x:c r="C103" s="37"/>
      <x:c r="D103" s="37"/>
      <x:c r="E103" s="52"/>
      <x:c r="F103" s="52"/>
      <x:c r="G103" s="52"/>
      <x:c r="H103" s="53"/>
      <x:c r="I103" s="37"/>
      <x:c r="J103" s="37"/>
      <x:c r="K103" s="37"/>
    </x:row>
    <x:row r="104">
      <x:c r="A104" s="37"/>
      <x:c r="B104" s="37"/>
      <x:c r="C104" s="37"/>
      <x:c r="D104" s="37"/>
      <x:c r="E104" s="52"/>
      <x:c r="F104" s="52"/>
      <x:c r="G104" s="52"/>
      <x:c r="H104" s="53"/>
      <x:c r="I104" s="37"/>
      <x:c r="J104" s="37"/>
      <x:c r="K104" s="37"/>
    </x:row>
    <x:row r="105">
      <x:c r="A105" s="37"/>
      <x:c r="B105" s="37"/>
      <x:c r="C105" s="37"/>
      <x:c r="D105" s="37"/>
      <x:c r="E105" s="52"/>
      <x:c r="F105" s="52"/>
      <x:c r="G105" s="52"/>
      <x:c r="H105" s="53"/>
      <x:c r="I105" s="37"/>
      <x:c r="J105" s="37"/>
      <x:c r="K105" s="37"/>
    </x:row>
    <x:row r="106">
      <x:c r="A106" s="37"/>
      <x:c r="B106" s="37"/>
      <x:c r="C106" s="37"/>
      <x:c r="D106" s="37"/>
      <x:c r="E106" s="52"/>
      <x:c r="F106" s="52"/>
      <x:c r="G106" s="52"/>
      <x:c r="H106" s="53"/>
      <x:c r="I106" s="37"/>
      <x:c r="J106" s="37"/>
      <x:c r="K106" s="37"/>
    </x:row>
    <x:row r="107">
      <x:c r="A107" s="37"/>
      <x:c r="B107" s="37"/>
      <x:c r="C107" s="37"/>
      <x:c r="D107" s="37"/>
      <x:c r="E107" s="52"/>
      <x:c r="F107" s="52"/>
      <x:c r="G107" s="52"/>
      <x:c r="H107" s="53"/>
      <x:c r="I107" s="37"/>
      <x:c r="J107" s="37"/>
      <x:c r="K107" s="37"/>
    </x:row>
    <x:row r="108">
      <x:c r="A108" s="37"/>
      <x:c r="B108" s="37"/>
      <x:c r="C108" s="37"/>
      <x:c r="D108" s="37"/>
      <x:c r="E108" s="52"/>
      <x:c r="F108" s="52"/>
      <x:c r="G108" s="52"/>
      <x:c r="H108" s="53"/>
      <x:c r="I108" s="37"/>
      <x:c r="J108" s="37"/>
      <x:c r="K108" s="37"/>
    </x:row>
    <x:row r="109">
      <x:c r="A109" s="37"/>
      <x:c r="B109" s="37"/>
      <x:c r="C109" s="37"/>
      <x:c r="D109" s="37"/>
      <x:c r="E109" s="52"/>
      <x:c r="F109" s="52"/>
      <x:c r="G109" s="52"/>
      <x:c r="H109" s="53"/>
      <x:c r="I109" s="37"/>
      <x:c r="J109" s="37"/>
      <x:c r="K109" s="37"/>
    </x:row>
    <x:row r="110">
      <x:c r="A110" s="37"/>
      <x:c r="B110" s="37"/>
      <x:c r="C110" s="37"/>
      <x:c r="D110" s="37"/>
      <x:c r="E110" s="52"/>
      <x:c r="F110" s="52"/>
      <x:c r="G110" s="52"/>
      <x:c r="H110" s="53"/>
      <x:c r="I110" s="37"/>
      <x:c r="J110" s="37"/>
      <x:c r="K110" s="37"/>
    </x:row>
    <x:row r="111">
      <x:c r="A111" s="37"/>
      <x:c r="B111" s="37"/>
      <x:c r="C111" s="37"/>
      <x:c r="D111" s="37"/>
      <x:c r="E111" s="52"/>
      <x:c r="F111" s="52"/>
      <x:c r="G111" s="52"/>
      <x:c r="H111" s="53"/>
      <x:c r="I111" s="37"/>
      <x:c r="J111" s="37"/>
      <x:c r="K111" s="37"/>
    </x:row>
    <x:row r="112">
      <x:c r="A112" s="37"/>
      <x:c r="B112" s="37"/>
      <x:c r="C112" s="37"/>
      <x:c r="D112" s="37"/>
      <x:c r="E112" s="52"/>
      <x:c r="F112" s="52"/>
      <x:c r="G112" s="52"/>
      <x:c r="H112" s="53"/>
      <x:c r="I112" s="37"/>
      <x:c r="J112" s="37"/>
      <x:c r="K112" s="37"/>
    </x:row>
    <x:row r="113">
      <x:c r="A113" s="37"/>
      <x:c r="B113" s="37"/>
      <x:c r="C113" s="37"/>
      <x:c r="D113" s="37"/>
      <x:c r="E113" s="52"/>
      <x:c r="F113" s="52"/>
      <x:c r="G113" s="52"/>
      <x:c r="H113" s="53"/>
      <x:c r="I113" s="37"/>
      <x:c r="J113" s="37"/>
      <x:c r="K113" s="37"/>
    </x:row>
    <x:row r="114">
      <x:c r="A114" s="37"/>
      <x:c r="B114" s="37"/>
      <x:c r="C114" s="37"/>
      <x:c r="D114" s="37"/>
      <x:c r="E114" s="52"/>
      <x:c r="F114" s="52"/>
      <x:c r="G114" s="52"/>
      <x:c r="H114" s="53"/>
      <x:c r="I114" s="37"/>
      <x:c r="J114" s="37"/>
      <x:c r="K114" s="37"/>
    </x:row>
    <x:row r="115">
      <x:c r="A115" s="37"/>
      <x:c r="B115" s="37"/>
      <x:c r="C115" s="37"/>
      <x:c r="D115" s="37"/>
      <x:c r="E115" s="52"/>
      <x:c r="F115" s="52"/>
      <x:c r="G115" s="52"/>
      <x:c r="H115" s="53"/>
      <x:c r="I115" s="37"/>
      <x:c r="J115" s="37"/>
      <x:c r="K115" s="37"/>
    </x:row>
    <x:row r="116">
      <x:c r="A116" s="37"/>
      <x:c r="B116" s="37"/>
      <x:c r="C116" s="37"/>
      <x:c r="D116" s="37"/>
      <x:c r="E116" s="52"/>
      <x:c r="F116" s="52"/>
      <x:c r="G116" s="52"/>
      <x:c r="H116" s="53"/>
      <x:c r="I116" s="37"/>
      <x:c r="J116" s="37"/>
      <x:c r="K116" s="37"/>
    </x:row>
    <x:row r="117">
      <x:c r="A117" s="37"/>
      <x:c r="B117" s="37"/>
      <x:c r="C117" s="37"/>
      <x:c r="D117" s="37"/>
      <x:c r="E117" s="52"/>
      <x:c r="F117" s="52"/>
      <x:c r="G117" s="52"/>
      <x:c r="H117" s="53"/>
      <x:c r="I117" s="37"/>
      <x:c r="J117" s="37"/>
      <x:c r="K117" s="37"/>
    </x:row>
    <x:row r="118">
      <x:c r="A118" s="37"/>
      <x:c r="B118" s="37"/>
      <x:c r="C118" s="37"/>
      <x:c r="D118" s="37"/>
      <x:c r="E118" s="52"/>
      <x:c r="F118" s="52"/>
      <x:c r="G118" s="52"/>
      <x:c r="H118" s="53"/>
      <x:c r="I118" s="37"/>
      <x:c r="J118" s="37"/>
      <x:c r="K118" s="37"/>
    </x:row>
    <x:row r="119">
      <x:c r="A119" s="37"/>
      <x:c r="B119" s="37"/>
      <x:c r="C119" s="37"/>
      <x:c r="D119" s="37"/>
      <x:c r="E119" s="52"/>
      <x:c r="F119" s="52"/>
      <x:c r="G119" s="52"/>
      <x:c r="H119" s="53"/>
      <x:c r="I119" s="37"/>
      <x:c r="J119" s="37"/>
      <x:c r="K119" s="37"/>
    </x:row>
    <x:row r="120">
      <x:c r="A120" s="37"/>
      <x:c r="B120" s="37"/>
      <x:c r="C120" s="37"/>
      <x:c r="D120" s="37"/>
      <x:c r="E120" s="52"/>
      <x:c r="F120" s="52"/>
      <x:c r="G120" s="52"/>
      <x:c r="H120" s="53"/>
      <x:c r="I120" s="37"/>
      <x:c r="J120" s="37"/>
      <x:c r="K120" s="37"/>
    </x:row>
    <x:row r="121">
      <x:c r="A121" s="37"/>
      <x:c r="B121" s="37"/>
      <x:c r="C121" s="37"/>
      <x:c r="D121" s="37"/>
      <x:c r="E121" s="52"/>
      <x:c r="F121" s="52"/>
      <x:c r="G121" s="52"/>
      <x:c r="H121" s="53"/>
      <x:c r="I121" s="37"/>
      <x:c r="J121" s="37"/>
      <x:c r="K121" s="37"/>
    </x:row>
    <x:row r="122">
      <x:c r="A122" s="37"/>
      <x:c r="B122" s="37"/>
      <x:c r="C122" s="37"/>
      <x:c r="D122" s="37"/>
      <x:c r="E122" s="52"/>
      <x:c r="F122" s="52"/>
      <x:c r="G122" s="52"/>
      <x:c r="H122" s="53"/>
      <x:c r="I122" s="37"/>
      <x:c r="J122" s="37"/>
      <x:c r="K122" s="37"/>
    </x:row>
    <x:row r="123">
      <x:c r="A123" s="37"/>
      <x:c r="B123" s="37"/>
      <x:c r="C123" s="37"/>
      <x:c r="D123" s="37"/>
      <x:c r="E123" s="52"/>
      <x:c r="F123" s="52"/>
      <x:c r="G123" s="52"/>
      <x:c r="H123" s="53"/>
      <x:c r="I123" s="37"/>
      <x:c r="J123" s="37"/>
      <x:c r="K123" s="37"/>
    </x:row>
    <x:row r="124">
      <x:c r="A124" s="37"/>
      <x:c r="B124" s="37"/>
      <x:c r="C124" s="37"/>
      <x:c r="D124" s="37"/>
      <x:c r="E124" s="52"/>
      <x:c r="F124" s="52"/>
      <x:c r="G124" s="52"/>
      <x:c r="H124" s="53"/>
      <x:c r="I124" s="37"/>
      <x:c r="J124" s="37"/>
      <x:c r="K124" s="37"/>
    </x:row>
    <x:row r="125">
      <x:c r="A125" s="37"/>
      <x:c r="B125" s="37"/>
      <x:c r="C125" s="37"/>
      <x:c r="D125" s="37"/>
      <x:c r="E125" s="52"/>
      <x:c r="F125" s="52"/>
      <x:c r="G125" s="52"/>
      <x:c r="H125" s="53"/>
      <x:c r="I125" s="37"/>
      <x:c r="J125" s="37"/>
      <x:c r="K125" s="37"/>
    </x:row>
    <x:row r="126">
      <x:c r="A126" s="37"/>
      <x:c r="B126" s="37"/>
      <x:c r="C126" s="37"/>
      <x:c r="D126" s="37"/>
      <x:c r="E126" s="52"/>
      <x:c r="F126" s="52"/>
      <x:c r="G126" s="52"/>
      <x:c r="H126" s="53"/>
      <x:c r="I126" s="37"/>
      <x:c r="J126" s="37"/>
      <x:c r="K126" s="37"/>
    </x:row>
    <x:row r="127">
      <x:c r="A127" s="37"/>
      <x:c r="B127" s="37"/>
      <x:c r="C127" s="37"/>
      <x:c r="D127" s="37"/>
      <x:c r="E127" s="52"/>
      <x:c r="F127" s="52"/>
      <x:c r="G127" s="52"/>
      <x:c r="H127" s="53"/>
      <x:c r="I127" s="37"/>
      <x:c r="J127" s="37"/>
      <x:c r="K127" s="37"/>
    </x:row>
    <x:row r="128">
      <x:c r="A128" s="37"/>
      <x:c r="B128" s="37"/>
      <x:c r="C128" s="37"/>
      <x:c r="D128" s="37"/>
      <x:c r="E128" s="52"/>
      <x:c r="F128" s="52"/>
      <x:c r="G128" s="52"/>
      <x:c r="H128" s="53"/>
      <x:c r="I128" s="37"/>
      <x:c r="J128" s="37"/>
      <x:c r="K128" s="37"/>
    </x:row>
    <x:row r="129">
      <x:c r="A129" s="37"/>
      <x:c r="B129" s="37"/>
      <x:c r="C129" s="37"/>
      <x:c r="D129" s="37"/>
      <x:c r="E129" s="52"/>
      <x:c r="F129" s="52"/>
      <x:c r="G129" s="52"/>
      <x:c r="H129" s="53"/>
      <x:c r="I129" s="37"/>
      <x:c r="J129" s="37"/>
      <x:c r="K129" s="37"/>
    </x:row>
    <x:row r="130">
      <x:c r="A130" s="37"/>
      <x:c r="B130" s="37"/>
      <x:c r="C130" s="37"/>
      <x:c r="D130" s="37"/>
      <x:c r="E130" s="52"/>
      <x:c r="F130" s="52"/>
      <x:c r="G130" s="52"/>
      <x:c r="H130" s="53"/>
      <x:c r="I130" s="37"/>
      <x:c r="J130" s="37"/>
      <x:c r="K130" s="37"/>
    </x:row>
    <x:row r="131">
      <x:c r="A131" s="37"/>
      <x:c r="B131" s="37"/>
      <x:c r="C131" s="37"/>
      <x:c r="D131" s="37"/>
      <x:c r="E131" s="52"/>
      <x:c r="F131" s="52"/>
      <x:c r="G131" s="52"/>
      <x:c r="H131" s="53"/>
      <x:c r="I131" s="37"/>
      <x:c r="J131" s="37"/>
      <x:c r="K131" s="37"/>
    </x:row>
    <x:row r="132">
      <x:c r="A132" s="37"/>
      <x:c r="B132" s="37"/>
      <x:c r="C132" s="37"/>
      <x:c r="D132" s="37"/>
      <x:c r="E132" s="52"/>
      <x:c r="F132" s="52"/>
      <x:c r="G132" s="52"/>
      <x:c r="H132" s="53"/>
      <x:c r="I132" s="37"/>
      <x:c r="J132" s="37"/>
      <x:c r="K132" s="37"/>
    </x:row>
    <x:row r="133">
      <x:c r="A133" s="37"/>
      <x:c r="B133" s="37"/>
      <x:c r="C133" s="37"/>
      <x:c r="D133" s="37"/>
      <x:c r="E133" s="52"/>
      <x:c r="F133" s="52"/>
      <x:c r="G133" s="52"/>
      <x:c r="H133" s="53"/>
      <x:c r="I133" s="37"/>
      <x:c r="J133" s="37"/>
      <x:c r="K133" s="37"/>
    </x:row>
    <x:row r="134">
      <x:c r="A134" s="37"/>
      <x:c r="B134" s="37"/>
      <x:c r="C134" s="37"/>
      <x:c r="D134" s="37"/>
      <x:c r="E134" s="52"/>
      <x:c r="F134" s="52"/>
      <x:c r="G134" s="52"/>
      <x:c r="H134" s="53"/>
      <x:c r="I134" s="37"/>
      <x:c r="J134" s="37"/>
      <x:c r="K134" s="37"/>
    </x:row>
    <x:row r="135">
      <x:c r="A135" s="37"/>
      <x:c r="B135" s="37"/>
      <x:c r="C135" s="37"/>
      <x:c r="D135" s="37"/>
      <x:c r="E135" s="52"/>
      <x:c r="F135" s="52"/>
      <x:c r="G135" s="52"/>
      <x:c r="H135" s="53"/>
      <x:c r="I135" s="37"/>
      <x:c r="J135" s="37"/>
      <x:c r="K135" s="37"/>
    </x:row>
    <x:row r="136">
      <x:c r="A136" s="37"/>
      <x:c r="B136" s="37"/>
      <x:c r="C136" s="37"/>
      <x:c r="D136" s="37"/>
      <x:c r="E136" s="52"/>
      <x:c r="F136" s="52"/>
      <x:c r="G136" s="52"/>
      <x:c r="H136" s="53"/>
      <x:c r="I136" s="37"/>
      <x:c r="J136" s="37"/>
      <x:c r="K136" s="37"/>
    </x:row>
    <x:row r="137">
      <x:c r="A137" s="37"/>
      <x:c r="B137" s="37"/>
      <x:c r="C137" s="37"/>
      <x:c r="D137" s="37"/>
      <x:c r="E137" s="52"/>
      <x:c r="F137" s="52"/>
      <x:c r="G137" s="52"/>
      <x:c r="H137" s="53"/>
      <x:c r="I137" s="37"/>
      <x:c r="J137" s="37"/>
      <x:c r="K137" s="37"/>
    </x:row>
    <x:row r="138">
      <x:c r="A138" s="37"/>
      <x:c r="B138" s="37"/>
      <x:c r="C138" s="37"/>
      <x:c r="D138" s="37"/>
      <x:c r="E138" s="52"/>
      <x:c r="F138" s="52"/>
      <x:c r="G138" s="52"/>
      <x:c r="H138" s="53"/>
      <x:c r="I138" s="37"/>
      <x:c r="J138" s="37"/>
      <x:c r="K138" s="37"/>
    </x:row>
    <x:row r="139">
      <x:c r="A139" s="37"/>
      <x:c r="B139" s="37"/>
      <x:c r="C139" s="37"/>
      <x:c r="D139" s="37"/>
      <x:c r="E139" s="52"/>
      <x:c r="F139" s="52"/>
      <x:c r="G139" s="52"/>
      <x:c r="H139" s="53"/>
      <x:c r="I139" s="37"/>
      <x:c r="J139" s="37"/>
      <x:c r="K139" s="37"/>
    </x:row>
    <x:row r="140">
      <x:c r="A140" s="37"/>
      <x:c r="B140" s="37"/>
      <x:c r="C140" s="37"/>
      <x:c r="D140" s="37"/>
      <x:c r="E140" s="52"/>
      <x:c r="F140" s="52"/>
      <x:c r="G140" s="52"/>
      <x:c r="H140" s="53"/>
      <x:c r="I140" s="37"/>
      <x:c r="J140" s="37"/>
      <x:c r="K140" s="37"/>
    </x:row>
    <x:row r="141">
      <x:c r="A141" s="37"/>
      <x:c r="B141" s="37"/>
      <x:c r="C141" s="37"/>
      <x:c r="D141" s="37"/>
      <x:c r="E141" s="52"/>
      <x:c r="F141" s="52"/>
      <x:c r="G141" s="52"/>
      <x:c r="H141" s="53"/>
      <x:c r="I141" s="37"/>
      <x:c r="J141" s="37"/>
      <x:c r="K141" s="37"/>
    </x:row>
    <x:row r="142">
      <x:c r="A142" s="37"/>
      <x:c r="B142" s="37"/>
      <x:c r="C142" s="37"/>
      <x:c r="D142" s="37"/>
      <x:c r="E142" s="52"/>
      <x:c r="F142" s="52"/>
      <x:c r="G142" s="52"/>
      <x:c r="H142" s="53"/>
      <x:c r="I142" s="37"/>
      <x:c r="J142" s="37"/>
      <x:c r="K142" s="37"/>
    </x:row>
    <x:row r="143">
      <x:c r="A143" s="37"/>
      <x:c r="B143" s="37"/>
      <x:c r="C143" s="37"/>
      <x:c r="D143" s="37"/>
      <x:c r="E143" s="52"/>
      <x:c r="F143" s="52"/>
      <x:c r="G143" s="52"/>
      <x:c r="H143" s="53"/>
      <x:c r="I143" s="37"/>
      <x:c r="J143" s="37"/>
      <x:c r="K143" s="37"/>
    </x:row>
    <x:row r="144">
      <x:c r="A144" s="37"/>
      <x:c r="B144" s="37"/>
      <x:c r="C144" s="37"/>
      <x:c r="D144" s="37"/>
      <x:c r="E144" s="52"/>
      <x:c r="F144" s="52"/>
      <x:c r="G144" s="52"/>
      <x:c r="H144" s="53"/>
      <x:c r="I144" s="37"/>
      <x:c r="J144" s="37"/>
      <x:c r="K144" s="37"/>
    </x:row>
    <x:row r="145">
      <x:c r="A145" s="37"/>
      <x:c r="B145" s="37"/>
      <x:c r="C145" s="37"/>
      <x:c r="D145" s="37"/>
      <x:c r="E145" s="52"/>
      <x:c r="F145" s="52"/>
      <x:c r="G145" s="52"/>
      <x:c r="H145" s="53"/>
      <x:c r="I145" s="37"/>
      <x:c r="J145" s="37"/>
      <x:c r="K145" s="37"/>
    </x:row>
    <x:row r="146">
      <x:c r="A146" s="37"/>
      <x:c r="B146" s="37"/>
      <x:c r="C146" s="37"/>
      <x:c r="D146" s="37"/>
      <x:c r="E146" s="52"/>
      <x:c r="F146" s="52"/>
      <x:c r="G146" s="52"/>
      <x:c r="H146" s="53"/>
      <x:c r="I146" s="37"/>
      <x:c r="J146" s="37"/>
      <x:c r="K146" s="37"/>
    </x:row>
    <x:row r="147">
      <x:c r="A147" s="37"/>
      <x:c r="B147" s="37"/>
      <x:c r="C147" s="37"/>
      <x:c r="D147" s="37"/>
      <x:c r="E147" s="52"/>
      <x:c r="F147" s="52"/>
      <x:c r="G147" s="52"/>
      <x:c r="H147" s="53"/>
      <x:c r="I147" s="37"/>
      <x:c r="J147" s="37"/>
      <x:c r="K147" s="37"/>
    </x:row>
    <x:row r="148">
      <x:c r="A148" s="37"/>
      <x:c r="B148" s="37"/>
      <x:c r="C148" s="37"/>
      <x:c r="D148" s="37"/>
      <x:c r="E148" s="52"/>
      <x:c r="F148" s="52"/>
      <x:c r="G148" s="52"/>
      <x:c r="H148" s="53"/>
      <x:c r="I148" s="37"/>
      <x:c r="J148" s="37"/>
      <x:c r="K148" s="37"/>
    </x:row>
    <x:row r="149">
      <x:c r="A149" s="37"/>
      <x:c r="B149" s="37"/>
      <x:c r="C149" s="37"/>
      <x:c r="D149" s="37"/>
      <x:c r="E149" s="52"/>
      <x:c r="F149" s="52"/>
      <x:c r="G149" s="52"/>
      <x:c r="H149" s="53"/>
      <x:c r="I149" s="37"/>
      <x:c r="J149" s="37"/>
      <x:c r="K149" s="37"/>
    </x:row>
    <x:row r="150">
      <x:c r="A150" s="37"/>
      <x:c r="B150" s="37"/>
      <x:c r="C150" s="37"/>
      <x:c r="D150" s="37"/>
      <x:c r="E150" s="52"/>
      <x:c r="F150" s="52"/>
      <x:c r="G150" s="52"/>
      <x:c r="H150" s="53"/>
      <x:c r="I150" s="37"/>
      <x:c r="J150" s="37"/>
      <x:c r="K150" s="37"/>
    </x:row>
    <x:row r="151">
      <x:c r="A151" s="37"/>
      <x:c r="B151" s="37"/>
      <x:c r="C151" s="37"/>
      <x:c r="D151" s="37"/>
      <x:c r="E151" s="52"/>
      <x:c r="F151" s="52"/>
      <x:c r="G151" s="52"/>
      <x:c r="H151" s="53"/>
      <x:c r="I151" s="37"/>
      <x:c r="J151" s="37"/>
      <x:c r="K151" s="37"/>
    </x:row>
    <x:row r="152">
      <x:c r="A152" s="37"/>
      <x:c r="B152" s="37"/>
      <x:c r="C152" s="37"/>
      <x:c r="D152" s="37"/>
      <x:c r="E152" s="52"/>
      <x:c r="F152" s="52"/>
      <x:c r="G152" s="52"/>
      <x:c r="H152" s="53"/>
      <x:c r="I152" s="37"/>
      <x:c r="J152" s="37"/>
      <x:c r="K152" s="37"/>
    </x:row>
    <x:row r="153">
      <x:c r="A153" s="37"/>
      <x:c r="B153" s="37"/>
      <x:c r="C153" s="37"/>
      <x:c r="D153" s="37"/>
      <x:c r="E153" s="52"/>
      <x:c r="F153" s="52"/>
      <x:c r="G153" s="52"/>
      <x:c r="H153" s="53"/>
      <x:c r="I153" s="37"/>
      <x:c r="J153" s="37"/>
      <x:c r="K153" s="37"/>
    </x:row>
    <x:row r="154">
      <x:c r="A154" s="37"/>
      <x:c r="B154" s="37"/>
      <x:c r="C154" s="37"/>
      <x:c r="D154" s="37"/>
      <x:c r="E154" s="52"/>
      <x:c r="F154" s="52"/>
      <x:c r="G154" s="52"/>
      <x:c r="H154" s="53"/>
      <x:c r="I154" s="37"/>
      <x:c r="J154" s="37"/>
      <x:c r="K154" s="37"/>
    </x:row>
    <x:row r="155">
      <x:c r="A155" s="37"/>
      <x:c r="B155" s="37"/>
      <x:c r="C155" s="37"/>
      <x:c r="D155" s="37"/>
      <x:c r="E155" s="52"/>
      <x:c r="F155" s="52"/>
      <x:c r="G155" s="52"/>
      <x:c r="H155" s="53"/>
      <x:c r="I155" s="37"/>
      <x:c r="J155" s="37"/>
      <x:c r="K155" s="37"/>
    </x:row>
    <x:row r="156">
      <x:c r="A156" s="37"/>
      <x:c r="B156" s="37"/>
      <x:c r="C156" s="37"/>
      <x:c r="D156" s="37"/>
      <x:c r="E156" s="52"/>
      <x:c r="F156" s="52"/>
      <x:c r="G156" s="52"/>
      <x:c r="H156" s="53"/>
      <x:c r="I156" s="37"/>
      <x:c r="J156" s="37"/>
      <x:c r="K156" s="37"/>
    </x:row>
    <x:row r="157">
      <x:c r="A157" s="37"/>
      <x:c r="B157" s="37"/>
      <x:c r="C157" s="37"/>
      <x:c r="D157" s="37"/>
      <x:c r="E157" s="52"/>
      <x:c r="F157" s="52"/>
      <x:c r="G157" s="52"/>
      <x:c r="H157" s="53"/>
      <x:c r="I157" s="37"/>
      <x:c r="J157" s="37"/>
      <x:c r="K157" s="37"/>
    </x:row>
    <x:row r="158">
      <x:c r="A158" s="37"/>
      <x:c r="B158" s="37"/>
      <x:c r="C158" s="37"/>
      <x:c r="D158" s="37"/>
      <x:c r="E158" s="52"/>
      <x:c r="F158" s="52"/>
      <x:c r="G158" s="52"/>
      <x:c r="H158" s="53"/>
      <x:c r="I158" s="37"/>
      <x:c r="J158" s="37"/>
      <x:c r="K158" s="37"/>
    </x:row>
    <x:row r="159">
      <x:c r="A159" s="37"/>
      <x:c r="B159" s="37"/>
      <x:c r="C159" s="37"/>
      <x:c r="D159" s="37"/>
      <x:c r="E159" s="52"/>
      <x:c r="F159" s="52"/>
      <x:c r="G159" s="52"/>
      <x:c r="H159" s="53"/>
      <x:c r="I159" s="37"/>
      <x:c r="J159" s="37"/>
      <x:c r="K159" s="37"/>
    </x:row>
    <x:row r="160">
      <x:c r="A160" s="37"/>
      <x:c r="B160" s="37"/>
      <x:c r="C160" s="37"/>
      <x:c r="D160" s="37"/>
      <x:c r="E160" s="52"/>
      <x:c r="F160" s="52"/>
      <x:c r="G160" s="52"/>
      <x:c r="H160" s="53"/>
      <x:c r="I160" s="37"/>
      <x:c r="J160" s="37"/>
      <x:c r="K160" s="37"/>
    </x:row>
    <x:row r="161">
      <x:c r="A161" s="37"/>
      <x:c r="B161" s="37"/>
      <x:c r="C161" s="37"/>
      <x:c r="D161" s="37"/>
      <x:c r="E161" s="52"/>
      <x:c r="F161" s="52"/>
      <x:c r="G161" s="52"/>
      <x:c r="H161" s="53"/>
      <x:c r="I161" s="37"/>
      <x:c r="J161" s="37"/>
      <x:c r="K161" s="37"/>
    </x:row>
    <x:row r="162">
      <x:c r="A162" s="37"/>
      <x:c r="B162" s="37"/>
      <x:c r="C162" s="37"/>
      <x:c r="D162" s="37"/>
      <x:c r="E162" s="52"/>
      <x:c r="F162" s="52"/>
      <x:c r="G162" s="52"/>
      <x:c r="H162" s="53"/>
      <x:c r="I162" s="37"/>
      <x:c r="J162" s="37"/>
      <x:c r="K162" s="37"/>
    </x:row>
    <x:row r="163">
      <x:c r="A163" s="37"/>
      <x:c r="B163" s="37"/>
      <x:c r="C163" s="37"/>
      <x:c r="D163" s="37"/>
      <x:c r="E163" s="52"/>
      <x:c r="F163" s="52"/>
      <x:c r="G163" s="52"/>
      <x:c r="H163" s="53"/>
      <x:c r="I163" s="37"/>
      <x:c r="J163" s="37"/>
      <x:c r="K163" s="37"/>
    </x:row>
    <x:row r="164">
      <x:c r="A164" s="37"/>
      <x:c r="B164" s="37"/>
      <x:c r="C164" s="37"/>
      <x:c r="D164" s="37"/>
      <x:c r="E164" s="52"/>
      <x:c r="F164" s="52"/>
      <x:c r="G164" s="52"/>
      <x:c r="H164" s="53"/>
      <x:c r="I164" s="37"/>
      <x:c r="J164" s="37"/>
      <x:c r="K164" s="37"/>
    </x:row>
    <x:row r="165">
      <x:c r="A165" s="37"/>
      <x:c r="B165" s="37"/>
      <x:c r="C165" s="37"/>
      <x:c r="D165" s="37"/>
      <x:c r="E165" s="52"/>
      <x:c r="F165" s="52"/>
      <x:c r="G165" s="52"/>
      <x:c r="H165" s="53"/>
      <x:c r="I165" s="37"/>
      <x:c r="J165" s="37"/>
      <x:c r="K165" s="37"/>
    </x:row>
    <x:row r="166">
      <x:c r="A166" s="37"/>
      <x:c r="B166" s="37"/>
      <x:c r="C166" s="37"/>
      <x:c r="D166" s="37"/>
      <x:c r="E166" s="52"/>
      <x:c r="F166" s="52"/>
      <x:c r="G166" s="52"/>
      <x:c r="H166" s="53"/>
      <x:c r="I166" s="37"/>
      <x:c r="J166" s="37"/>
      <x:c r="K166" s="37"/>
    </x:row>
    <x:row r="167">
      <x:c r="A167" s="37"/>
      <x:c r="B167" s="37"/>
      <x:c r="C167" s="37"/>
      <x:c r="D167" s="37"/>
      <x:c r="E167" s="52"/>
      <x:c r="F167" s="52"/>
      <x:c r="G167" s="52"/>
      <x:c r="H167" s="53"/>
      <x:c r="I167" s="37"/>
      <x:c r="J167" s="37"/>
      <x:c r="K167" s="37"/>
    </x:row>
    <x:row r="168">
      <x:c r="A168" s="37"/>
      <x:c r="B168" s="37"/>
      <x:c r="C168" s="37"/>
      <x:c r="D168" s="37"/>
      <x:c r="E168" s="52"/>
      <x:c r="F168" s="52"/>
      <x:c r="G168" s="52"/>
      <x:c r="H168" s="53"/>
      <x:c r="I168" s="37"/>
      <x:c r="J168" s="37"/>
      <x:c r="K168" s="37"/>
    </x:row>
    <x:row r="169">
      <x:c r="A169" s="37"/>
      <x:c r="B169" s="37"/>
      <x:c r="C169" s="37"/>
      <x:c r="D169" s="37"/>
      <x:c r="E169" s="52"/>
      <x:c r="F169" s="52"/>
      <x:c r="G169" s="52"/>
      <x:c r="H169" s="53"/>
      <x:c r="I169" s="37"/>
      <x:c r="J169" s="37"/>
      <x:c r="K169" s="37"/>
    </x:row>
    <x:row r="170">
      <x:c r="A170" s="37"/>
      <x:c r="B170" s="37"/>
      <x:c r="C170" s="37"/>
      <x:c r="D170" s="37"/>
      <x:c r="E170" s="52"/>
      <x:c r="F170" s="52"/>
      <x:c r="G170" s="52"/>
      <x:c r="H170" s="53"/>
      <x:c r="I170" s="37"/>
      <x:c r="J170" s="37"/>
      <x:c r="K170" s="37"/>
    </x:row>
    <x:row r="171">
      <x:c r="A171" s="37"/>
      <x:c r="B171" s="37"/>
      <x:c r="C171" s="37"/>
      <x:c r="D171" s="37"/>
      <x:c r="E171" s="52"/>
      <x:c r="F171" s="52"/>
      <x:c r="G171" s="52"/>
      <x:c r="H171" s="53"/>
      <x:c r="I171" s="37"/>
      <x:c r="J171" s="37"/>
      <x:c r="K171" s="37"/>
    </x:row>
    <x:row r="172">
      <x:c r="A172" s="37"/>
      <x:c r="B172" s="37"/>
      <x:c r="C172" s="37"/>
      <x:c r="D172" s="37"/>
      <x:c r="E172" s="52"/>
      <x:c r="F172" s="52"/>
      <x:c r="G172" s="52"/>
      <x:c r="H172" s="53"/>
      <x:c r="I172" s="37"/>
      <x:c r="J172" s="37"/>
      <x:c r="K172" s="37"/>
    </x:row>
    <x:row r="173">
      <x:c r="A173" s="37"/>
      <x:c r="B173" s="37"/>
      <x:c r="C173" s="37"/>
      <x:c r="D173" s="37"/>
      <x:c r="E173" s="52"/>
      <x:c r="F173" s="52"/>
      <x:c r="G173" s="52"/>
      <x:c r="H173" s="53"/>
      <x:c r="I173" s="37"/>
      <x:c r="J173" s="37"/>
      <x:c r="K173" s="37"/>
    </x:row>
    <x:row r="174">
      <x:c r="A174" s="37"/>
      <x:c r="B174" s="37"/>
      <x:c r="C174" s="37"/>
      <x:c r="D174" s="37"/>
      <x:c r="E174" s="52"/>
      <x:c r="F174" s="52"/>
      <x:c r="G174" s="52"/>
      <x:c r="H174" s="53"/>
      <x:c r="I174" s="37"/>
      <x:c r="J174" s="37"/>
      <x:c r="K174" s="37"/>
    </x:row>
    <x:row r="175">
      <x:c r="A175" s="37"/>
      <x:c r="B175" s="37"/>
      <x:c r="C175" s="37"/>
      <x:c r="D175" s="37"/>
      <x:c r="E175" s="52"/>
      <x:c r="F175" s="52"/>
      <x:c r="G175" s="52"/>
      <x:c r="H175" s="53"/>
      <x:c r="I175" s="37"/>
      <x:c r="J175" s="37"/>
      <x:c r="K175" s="37"/>
    </x:row>
    <x:row r="176">
      <x:c r="A176" s="37"/>
      <x:c r="B176" s="37"/>
      <x:c r="C176" s="37"/>
      <x:c r="D176" s="37"/>
      <x:c r="E176" s="52"/>
      <x:c r="F176" s="52"/>
      <x:c r="G176" s="52"/>
      <x:c r="H176" s="53"/>
      <x:c r="I176" s="37"/>
      <x:c r="J176" s="37"/>
      <x:c r="K176" s="37"/>
    </x:row>
    <x:row r="177">
      <x:c r="A177" s="37"/>
      <x:c r="B177" s="37"/>
      <x:c r="C177" s="37"/>
      <x:c r="D177" s="37"/>
      <x:c r="E177" s="52"/>
      <x:c r="F177" s="52"/>
      <x:c r="G177" s="52"/>
      <x:c r="H177" s="53"/>
      <x:c r="I177" s="37"/>
      <x:c r="J177" s="37"/>
      <x:c r="K177" s="37"/>
    </x:row>
    <x:row r="178">
      <x:c r="A178" s="37"/>
      <x:c r="B178" s="37"/>
      <x:c r="C178" s="37"/>
      <x:c r="D178" s="37"/>
      <x:c r="E178" s="52"/>
      <x:c r="F178" s="52"/>
      <x:c r="G178" s="52"/>
      <x:c r="H178" s="53"/>
      <x:c r="I178" s="37"/>
      <x:c r="J178" s="37"/>
      <x:c r="K178" s="37"/>
    </x:row>
    <x:row r="179">
      <x:c r="A179" s="37"/>
      <x:c r="B179" s="37"/>
      <x:c r="C179" s="37"/>
      <x:c r="D179" s="37"/>
      <x:c r="E179" s="52"/>
      <x:c r="F179" s="52"/>
      <x:c r="G179" s="52"/>
      <x:c r="H179" s="53"/>
      <x:c r="I179" s="37"/>
      <x:c r="J179" s="37"/>
      <x:c r="K179" s="37"/>
    </x:row>
    <x:row r="180">
      <x:c r="A180" s="37"/>
      <x:c r="B180" s="37"/>
      <x:c r="C180" s="37"/>
      <x:c r="D180" s="37"/>
      <x:c r="E180" s="52"/>
      <x:c r="F180" s="52"/>
      <x:c r="G180" s="52"/>
      <x:c r="H180" s="53"/>
      <x:c r="I180" s="37"/>
      <x:c r="J180" s="37"/>
      <x:c r="K180" s="37"/>
    </x:row>
    <x:row r="181">
      <x:c r="A181" s="37"/>
      <x:c r="B181" s="37"/>
      <x:c r="C181" s="37"/>
      <x:c r="D181" s="37"/>
      <x:c r="E181" s="52"/>
      <x:c r="F181" s="52"/>
      <x:c r="G181" s="52"/>
      <x:c r="H181" s="53"/>
      <x:c r="I181" s="37"/>
      <x:c r="J181" s="37"/>
      <x:c r="K181" s="37"/>
    </x:row>
    <x:row r="182">
      <x:c r="A182" s="37"/>
      <x:c r="B182" s="37"/>
      <x:c r="C182" s="37"/>
      <x:c r="D182" s="37"/>
      <x:c r="E182" s="52"/>
      <x:c r="F182" s="52"/>
      <x:c r="G182" s="52"/>
      <x:c r="H182" s="53"/>
      <x:c r="I182" s="37"/>
      <x:c r="J182" s="37"/>
      <x:c r="K182" s="37"/>
    </x:row>
    <x:row r="183">
      <x:c r="A183" s="37"/>
      <x:c r="B183" s="37"/>
      <x:c r="C183" s="37"/>
      <x:c r="D183" s="37"/>
      <x:c r="E183" s="52"/>
      <x:c r="F183" s="52"/>
      <x:c r="G183" s="52"/>
      <x:c r="H183" s="53"/>
      <x:c r="I183" s="37"/>
      <x:c r="J183" s="37"/>
      <x:c r="K183" s="37"/>
    </x:row>
    <x:row r="184">
      <x:c r="A184" s="37"/>
      <x:c r="B184" s="37"/>
      <x:c r="C184" s="37"/>
      <x:c r="D184" s="37"/>
      <x:c r="E184" s="52"/>
      <x:c r="F184" s="52"/>
      <x:c r="G184" s="52"/>
      <x:c r="H184" s="53"/>
      <x:c r="I184" s="37"/>
      <x:c r="J184" s="37"/>
      <x:c r="K184" s="37"/>
    </x:row>
    <x:row r="185">
      <x:c r="A185" s="37"/>
      <x:c r="B185" s="37"/>
      <x:c r="C185" s="37"/>
      <x:c r="D185" s="37"/>
      <x:c r="E185" s="52"/>
      <x:c r="F185" s="52"/>
      <x:c r="G185" s="52"/>
      <x:c r="H185" s="53"/>
      <x:c r="I185" s="37"/>
      <x:c r="J185" s="37"/>
      <x:c r="K185" s="37"/>
    </x:row>
    <x:row r="186">
      <x:c r="A186" s="37"/>
      <x:c r="B186" s="37"/>
      <x:c r="C186" s="37"/>
      <x:c r="D186" s="37"/>
      <x:c r="E186" s="52"/>
      <x:c r="F186" s="52"/>
      <x:c r="G186" s="52"/>
      <x:c r="H186" s="53"/>
      <x:c r="I186" s="37"/>
      <x:c r="J186" s="37"/>
      <x:c r="K186" s="37"/>
    </x:row>
    <x:row r="187">
      <x:c r="A187" s="37"/>
      <x:c r="B187" s="37"/>
      <x:c r="C187" s="37"/>
      <x:c r="D187" s="37"/>
      <x:c r="E187" s="52"/>
      <x:c r="F187" s="52"/>
      <x:c r="G187" s="52"/>
      <x:c r="H187" s="53"/>
      <x:c r="I187" s="37"/>
      <x:c r="J187" s="37"/>
      <x:c r="K187" s="37"/>
    </x:row>
    <x:row r="188">
      <x:c r="A188" s="37"/>
      <x:c r="B188" s="37"/>
      <x:c r="C188" s="37"/>
      <x:c r="D188" s="37"/>
      <x:c r="E188" s="52"/>
      <x:c r="F188" s="52"/>
      <x:c r="G188" s="52"/>
      <x:c r="H188" s="53"/>
      <x:c r="I188" s="37"/>
      <x:c r="J188" s="37"/>
      <x:c r="K188" s="37"/>
    </x:row>
    <x:row r="189">
      <x:c r="A189" s="37"/>
      <x:c r="B189" s="37"/>
      <x:c r="C189" s="37"/>
      <x:c r="D189" s="37"/>
      <x:c r="E189" s="52"/>
      <x:c r="F189" s="52"/>
      <x:c r="G189" s="52"/>
      <x:c r="H189" s="53"/>
      <x:c r="I189" s="37"/>
      <x:c r="J189" s="37"/>
      <x:c r="K189" s="37"/>
    </x:row>
    <x:row r="190">
      <x:c r="A190" s="37"/>
      <x:c r="B190" s="37"/>
      <x:c r="C190" s="37"/>
      <x:c r="D190" s="37"/>
      <x:c r="E190" s="52"/>
      <x:c r="F190" s="52"/>
      <x:c r="G190" s="52"/>
      <x:c r="H190" s="53"/>
      <x:c r="I190" s="37"/>
      <x:c r="J190" s="37"/>
      <x:c r="K190" s="37"/>
    </x:row>
    <x:row r="191">
      <x:c r="A191" s="37"/>
      <x:c r="B191" s="37"/>
      <x:c r="C191" s="37"/>
      <x:c r="D191" s="37"/>
      <x:c r="E191" s="52"/>
      <x:c r="F191" s="52"/>
      <x:c r="G191" s="52"/>
      <x:c r="H191" s="53"/>
      <x:c r="I191" s="37"/>
      <x:c r="J191" s="37"/>
      <x:c r="K191" s="37"/>
    </x:row>
    <x:row r="192">
      <x:c r="A192" s="37"/>
      <x:c r="B192" s="37"/>
      <x:c r="C192" s="37"/>
      <x:c r="D192" s="37"/>
      <x:c r="E192" s="52"/>
      <x:c r="F192" s="52"/>
      <x:c r="G192" s="52"/>
      <x:c r="H192" s="53"/>
      <x:c r="I192" s="37"/>
      <x:c r="J192" s="37"/>
      <x:c r="K192" s="37"/>
    </x:row>
    <x:row r="193">
      <x:c r="A193" s="37"/>
      <x:c r="B193" s="37"/>
      <x:c r="C193" s="37"/>
      <x:c r="D193" s="37"/>
      <x:c r="E193" s="52"/>
      <x:c r="F193" s="52"/>
      <x:c r="G193" s="52"/>
      <x:c r="H193" s="53"/>
      <x:c r="I193" s="37"/>
      <x:c r="J193" s="37"/>
      <x:c r="K193" s="37"/>
    </x:row>
    <x:row r="194">
      <x:c r="A194" s="37"/>
      <x:c r="B194" s="37"/>
      <x:c r="C194" s="37"/>
      <x:c r="D194" s="37"/>
      <x:c r="E194" s="52"/>
      <x:c r="F194" s="52"/>
      <x:c r="G194" s="52"/>
      <x:c r="H194" s="53"/>
      <x:c r="I194" s="37"/>
      <x:c r="J194" s="37"/>
      <x:c r="K194" s="37"/>
    </x:row>
    <x:row r="195">
      <x:c r="A195" s="37"/>
      <x:c r="B195" s="37"/>
      <x:c r="C195" s="37"/>
      <x:c r="D195" s="37"/>
      <x:c r="E195" s="52"/>
      <x:c r="F195" s="52"/>
      <x:c r="G195" s="52"/>
      <x:c r="H195" s="53"/>
      <x:c r="I195" s="37"/>
      <x:c r="J195" s="37"/>
      <x:c r="K195" s="37"/>
    </x:row>
    <x:row r="196">
      <x:c r="A196" s="37"/>
      <x:c r="B196" s="37"/>
      <x:c r="C196" s="37"/>
      <x:c r="D196" s="37"/>
      <x:c r="E196" s="52"/>
      <x:c r="F196" s="52"/>
      <x:c r="G196" s="52"/>
      <x:c r="H196" s="53"/>
      <x:c r="I196" s="37"/>
      <x:c r="J196" s="37"/>
      <x:c r="K196" s="37"/>
    </x:row>
    <x:row r="197">
      <x:c r="A197" s="37"/>
      <x:c r="B197" s="37"/>
      <x:c r="C197" s="37"/>
      <x:c r="D197" s="37"/>
      <x:c r="E197" s="52"/>
      <x:c r="F197" s="52"/>
      <x:c r="G197" s="52"/>
      <x:c r="H197" s="53"/>
      <x:c r="I197" s="37"/>
      <x:c r="J197" s="37"/>
      <x:c r="K197" s="37"/>
    </x:row>
    <x:row r="198">
      <x:c r="A198" s="37"/>
      <x:c r="B198" s="37"/>
      <x:c r="C198" s="37"/>
      <x:c r="D198" s="37"/>
      <x:c r="E198" s="52"/>
      <x:c r="F198" s="52"/>
      <x:c r="G198" s="52"/>
      <x:c r="H198" s="53"/>
      <x:c r="I198" s="37"/>
      <x:c r="J198" s="37"/>
      <x:c r="K198" s="37"/>
    </x:row>
    <x:row r="199">
      <x:c r="A199" s="37"/>
      <x:c r="B199" s="37"/>
      <x:c r="C199" s="37"/>
      <x:c r="D199" s="37"/>
      <x:c r="E199" s="52"/>
      <x:c r="F199" s="52"/>
      <x:c r="G199" s="52"/>
      <x:c r="H199" s="53"/>
      <x:c r="I199" s="37"/>
      <x:c r="J199" s="37"/>
      <x:c r="K199" s="37"/>
    </x:row>
    <x:row r="200">
      <x:c r="A200" s="37"/>
      <x:c r="B200" s="37"/>
      <x:c r="C200" s="37"/>
      <x:c r="D200" s="37"/>
      <x:c r="E200" s="52"/>
      <x:c r="F200" s="52"/>
      <x:c r="G200" s="52"/>
      <x:c r="H200" s="53"/>
      <x:c r="I200" s="37"/>
      <x:c r="J200" s="37"/>
      <x:c r="K200" s="37"/>
    </x:row>
    <x:row r="201">
      <x:c r="A201" s="37"/>
      <x:c r="B201" s="37"/>
      <x:c r="C201" s="37"/>
      <x:c r="D201" s="37"/>
      <x:c r="E201" s="52"/>
      <x:c r="F201" s="52"/>
      <x:c r="G201" s="52"/>
      <x:c r="H201" s="53"/>
      <x:c r="I201" s="37"/>
      <x:c r="J201" s="37"/>
      <x:c r="K201" s="37"/>
    </x:row>
    <x:row r="202">
      <x:c r="A202" s="37"/>
      <x:c r="B202" s="37"/>
      <x:c r="C202" s="37"/>
      <x:c r="D202" s="37"/>
      <x:c r="E202" s="52"/>
      <x:c r="F202" s="52"/>
      <x:c r="G202" s="52"/>
      <x:c r="H202" s="53"/>
      <x:c r="I202" s="37"/>
      <x:c r="J202" s="37"/>
      <x:c r="K202" s="37"/>
    </x:row>
    <x:row r="203">
      <x:c r="A203" s="37"/>
      <x:c r="B203" s="37"/>
      <x:c r="C203" s="37"/>
      <x:c r="D203" s="37"/>
      <x:c r="E203" s="52"/>
      <x:c r="F203" s="52"/>
      <x:c r="G203" s="52"/>
      <x:c r="H203" s="53"/>
      <x:c r="I203" s="37"/>
      <x:c r="J203" s="37"/>
      <x:c r="K203" s="37"/>
    </x:row>
    <x:row r="204">
      <x:c r="A204" s="37"/>
      <x:c r="B204" s="37"/>
      <x:c r="C204" s="37"/>
      <x:c r="D204" s="37"/>
      <x:c r="E204" s="52"/>
      <x:c r="F204" s="52"/>
      <x:c r="G204" s="52"/>
      <x:c r="H204" s="53"/>
      <x:c r="I204" s="37"/>
      <x:c r="J204" s="37"/>
      <x:c r="K204" s="37"/>
    </x:row>
    <x:row r="205">
      <x:c r="A205" s="37"/>
      <x:c r="B205" s="37"/>
      <x:c r="C205" s="37"/>
      <x:c r="D205" s="37"/>
      <x:c r="E205" s="52"/>
      <x:c r="F205" s="52"/>
      <x:c r="G205" s="52"/>
      <x:c r="H205" s="53"/>
      <x:c r="I205" s="37"/>
      <x:c r="J205" s="37"/>
      <x:c r="K205" s="37"/>
    </x:row>
  </x:sheetData>
  <x:mergeCells>
    <x:mergeCell ref="A1:K1"/>
    <x:mergeCell ref="A3:K3"/>
  </x:mergeCells>
  <x:dataValidations count="2">
    <x:dataValidation type="list" sqref="I6:I205">
      <x:formula1>"Low,Medium,High,Critical"</x:formula1>
    </x:dataValidation>
    <x:dataValidation type="list" sqref="J6:J2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9f3bc05cf7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6.8799991607666" hidden="0" customWidth="1"/>
    <x:col min="3" max="3" width="18.1299991607666" hidden="0" customWidth="1"/>
    <x:col min="4" max="4" width="20.6299991607666" hidden="0" customWidth="1"/>
    <x:col min="5" max="5" width="32.5" hidden="0" customWidth="1"/>
    <x:col min="6" max="6" width="27.5" hidden="0" customWidth="1"/>
    <x:col min="7" max="7" width="11.25" hidden="0" customWidth="1"/>
    <x:col min="8" max="8" width="11.880000114440918" hidden="0" customWidth="1"/>
    <x:col min="9" max="9" width="11.880000114440918" hidden="0" customWidth="1"/>
    <x:col min="10" max="10" width="13.75" hidden="0" customWidth="1"/>
    <x:col min="11" max="11" width="32.5" hidden="0" customWidth="1"/>
    <x:col min="12" max="12" width="10.630000114440918" hidden="0" customWidth="1"/>
  </x:cols>
  <x:sheetData>
    <x:row r="1" ht="25.5" customHeight="1">
      <x:c r="A1" s="54" t="str">
        <x:v>Control Testing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>
      <x:c r="A5" s="36" t="str">
        <x:v>Test ID</x:v>
      </x:c>
      <x:c r="B5" s="36" t="str">
        <x:v>Area</x:v>
      </x:c>
      <x:c r="C5" s="36" t="str">
        <x:v>Transaction/Vendor ID</x:v>
      </x:c>
      <x:c r="D5" s="36" t="str">
        <x:v>Control Tested</x:v>
      </x:c>
      <x:c r="E5" s="36" t="str">
        <x:v>Attribute</x:v>
      </x:c>
      <x:c r="F5" s="36" t="str">
        <x:v>Expected Evidence</x:v>
      </x:c>
      <x:c r="G5" s="36" t="str">
        <x:v>Evidence Ref</x:v>
      </x:c>
      <x:c r="H5" s="36" t="str">
        <x:v>Test Date</x:v>
      </x:c>
      <x:c r="I5" s="36" t="str">
        <x:v>Tester</x:v>
      </x:c>
      <x:c r="J5" s="36" t="str">
        <x:v>Result</x:v>
      </x:c>
      <x:c r="K5" s="36" t="str">
        <x:v>Exception Summary</x:v>
      </x:c>
      <x:c r="L5" s="36" t="str">
        <x:v>Finding ID</x:v>
      </x:c>
    </x:row>
    <x:row r="6">
      <x:c r="A6" s="37" t="str">
        <x:v>T-001</x:v>
      </x:c>
      <x:c r="B6" s="37" t="str">
        <x:v>Vendor onboarding</x:v>
      </x:c>
      <x:c r="C6" s="37" t="str">
        <x:v>Vendor: Gulf Tech Services</x:v>
      </x:c>
      <x:c r="D6" s="37" t="str">
        <x:v>New vendor approval</x:v>
      </x:c>
      <x:c r="E6" s="37" t="str">
        <x:v>Due diligence and bank validation completed before vendor activation.</x:v>
      </x:c>
      <x:c r="F6" s="37" t="str">
        <x:v>Vendor request, screening, bank validation, approval</x:v>
      </x:c>
      <x:c r="G6" s="37" t="str">
        <x:v>E-001</x:v>
      </x:c>
      <x:c r="H6" s="52" t="n">
        <x:v>46174</x:v>
      </x:c>
      <x:c r="I6" s="37" t="str"/>
      <x:c r="J6" s="37" t="str">
        <x:v>Pass</x:v>
      </x:c>
      <x:c r="K6" s="37" t="str"/>
      <x:c r="L6" s="37" t="str"/>
    </x:row>
    <x:row r="7">
      <x:c r="A7" s="37" t="str">
        <x:v>T-002</x:v>
      </x:c>
      <x:c r="B7" s="37" t="str">
        <x:v>Vendor onboarding</x:v>
      </x:c>
      <x:c r="C7" s="37" t="str">
        <x:v>Vendor: Gulf Tech Services</x:v>
      </x:c>
      <x:c r="D7" s="37" t="str">
        <x:v>UBO declaration and sanctions screening</x:v>
      </x:c>
      <x:c r="E7" s="37" t="str">
        <x:v>Verify that the vendor onboarding file includes a documented UBO declaration and has been screened against active UAE/UN sanctions lists.</x:v>
      </x:c>
      <x:c r="F7" s="37" t="str">
        <x:v>UBO declaration, UAE sanctions screening result, UN sanctions screening result, reviewer signoff</x:v>
      </x:c>
      <x:c r="G7" s="37" t="str">
        <x:v>E-006</x:v>
      </x:c>
      <x:c r="H7" s="52" t="n">
        <x:v>46174</x:v>
      </x:c>
      <x:c r="I7" s="37" t="str"/>
      <x:c r="J7" s="37" t="str">
        <x:v>Pass</x:v>
      </x:c>
      <x:c r="K7" s="37" t="str"/>
      <x:c r="L7" s="37" t="str"/>
    </x:row>
    <x:row r="8">
      <x:c r="A8" s="37" t="str">
        <x:v>T-003</x:v>
      </x:c>
      <x:c r="B8" s="37" t="str">
        <x:v>PO approval</x:v>
      </x:c>
      <x:c r="C8" s="37" t="str">
        <x:v>TXN-1002</x:v>
      </x:c>
      <x:c r="D8" s="37" t="str">
        <x:v>Delegated authority approval</x:v>
      </x:c>
      <x:c r="E8" s="37" t="str">
        <x:v>PO approved by person with sufficient limit before issuance.</x:v>
      </x:c>
      <x:c r="F8" s="37" t="str">
        <x:v>Approval workflow and authority matrix</x:v>
      </x:c>
      <x:c r="G8" s="37" t="str">
        <x:v>E-002</x:v>
      </x:c>
      <x:c r="H8" s="52" t="n">
        <x:v>46175</x:v>
      </x:c>
      <x:c r="I8" s="37" t="str"/>
      <x:c r="J8" s="37" t="str">
        <x:v>Pass</x:v>
      </x:c>
      <x:c r="K8" s="37" t="str"/>
      <x:c r="L8" s="37" t="str"/>
    </x:row>
    <x:row r="9">
      <x:c r="A9" s="37" t="str">
        <x:v>T-004</x:v>
      </x:c>
      <x:c r="B9" s="37" t="str">
        <x:v>Three-way match</x:v>
      </x:c>
      <x:c r="C9" s="37" t="str">
        <x:v>TXN-1008</x:v>
      </x:c>
      <x:c r="D9" s="37" t="str">
        <x:v>Invoice match</x:v>
      </x:c>
      <x:c r="E9" s="37" t="str">
        <x:v>Invoice price/quantity matches PO and goods receipt or exception approved.</x:v>
      </x:c>
      <x:c r="F9" s="37" t="str">
        <x:v>PO, GRN, invoice, override approval</x:v>
      </x:c>
      <x:c r="G9" s="37" t="str">
        <x:v>E-003</x:v>
      </x:c>
      <x:c r="H9" s="52" t="n">
        <x:v>46176</x:v>
      </x:c>
      <x:c r="I9" s="37" t="str"/>
      <x:c r="J9" s="37" t="str">
        <x:v>Fail</x:v>
      </x:c>
      <x:c r="K9" s="37" t="str">
        <x:v>Manual match override lacked documented approval.</x:v>
      </x:c>
      <x:c r="L9" s="37" t="str">
        <x:v>F-001</x:v>
      </x:c>
    </x:row>
    <x:row r="10">
      <x:c r="A10" s="37" t="str">
        <x:v>T-005</x:v>
      </x:c>
      <x:c r="B10" s="37" t="str">
        <x:v>Contract compliance</x:v>
      </x:c>
      <x:c r="C10" s="37" t="str">
        <x:v>TXN-1003</x:v>
      </x:c>
      <x:c r="D10" s="37" t="str">
        <x:v>Contracted rate compliance</x:v>
      </x:c>
      <x:c r="E10" s="37" t="str">
        <x:v>Invoice rate agrees to active contract or approved amendment.</x:v>
      </x:c>
      <x:c r="F10" s="37" t="str">
        <x:v>Contract, invoice, price schedule</x:v>
      </x:c>
      <x:c r="G10" s="37" t="str">
        <x:v>E-004</x:v>
      </x:c>
      <x:c r="H10" s="52" t="n">
        <x:v>46176</x:v>
      </x:c>
      <x:c r="I10" s="37" t="str"/>
      <x:c r="J10" s="37" t="str">
        <x:v>Pass</x:v>
      </x:c>
      <x:c r="K10" s="37" t="str"/>
      <x:c r="L10" s="37" t="str"/>
    </x:row>
    <x:row r="11">
      <x:c r="A11" s="37" t="str">
        <x:v>T-006</x:v>
      </x:c>
      <x:c r="B11" s="37" t="str">
        <x:v>Invoice payment</x:v>
      </x:c>
      <x:c r="C11" s="37" t="str">
        <x:v>TXN-1005</x:v>
      </x:c>
      <x:c r="D11" s="37" t="str">
        <x:v>Payment timing and duplicate check</x:v>
      </x:c>
      <x:c r="E11" s="37" t="str">
        <x:v>Payment follows terms and duplicate detection was performed.</x:v>
      </x:c>
      <x:c r="F11" s="37" t="str">
        <x:v>Payment run approval and duplicate report</x:v>
      </x:c>
      <x:c r="G11" s="37" t="str">
        <x:v>E-005</x:v>
      </x:c>
      <x:c r="H11" s="52" t="n">
        <x:v>46177</x:v>
      </x:c>
      <x:c r="I11" s="37" t="str"/>
      <x:c r="J11" s="37" t="str">
        <x:v>Needs Follow-up</x:v>
      </x:c>
      <x:c r="K11" s="37" t="str">
        <x:v>Duplicate report not retained with payment run.</x:v>
      </x:c>
      <x:c r="L11" s="37" t="str">
        <x:v>F-002</x:v>
      </x:c>
    </x:row>
    <x:row r="12">
      <x:c r="A12" s="37" t="str">
        <x:v>T-007</x:v>
      </x:c>
      <x:c r="B12" s="37" t="str">
        <x:v>Vendor risk</x:v>
      </x:c>
      <x:c r="C12" s="37" t="str">
        <x:v>Vendor: Prime Facilities LLC</x:v>
      </x:c>
      <x:c r="D12" s="37" t="str">
        <x:v>MoHRE Emiratisation compliance certificate</x:v>
      </x:c>
      <x:c r="E12" s="37" t="str">
        <x:v>For outsourced labor or long-term service suppliers, verify that the contractor provides a valid MoHRE compliance certificate showing they are meeting active 2026 Emiratisation quotas, ensuring zero risk of sudden work permit suspensions or deployment disruptions.</x:v>
      </x:c>
      <x:c r="F12" s="37" t="str">
        <x:v>Valid MoHRE compliance certificate, 2026 Emiratisation quota support, reviewer signoff</x:v>
      </x:c>
      <x:c r="G12" s="37" t="str">
        <x:v>E-007</x:v>
      </x:c>
      <x:c r="H12" s="52" t="n">
        <x:v>46178</x:v>
      </x:c>
      <x:c r="I12" s="37" t="str"/>
      <x:c r="J12" s="37" t="str">
        <x:v>Pass</x:v>
      </x:c>
      <x:c r="K12" s="37" t="str"/>
      <x:c r="L12" s="37" t="str"/>
    </x:row>
    <x:row r="13">
      <x:c r="A13" s="37"/>
      <x:c r="B13" s="37"/>
      <x:c r="C13" s="37"/>
      <x:c r="D13" s="37"/>
      <x:c r="E13" s="37"/>
      <x:c r="F13" s="37"/>
      <x:c r="G13" s="37"/>
      <x:c r="H13" s="52"/>
      <x:c r="I13" s="37"/>
      <x:c r="J13" s="37"/>
      <x:c r="K13" s="37"/>
      <x:c r="L13" s="37"/>
    </x:row>
    <x:row r="14">
      <x:c r="A14" s="37"/>
      <x:c r="B14" s="37"/>
      <x:c r="C14" s="37"/>
      <x:c r="D14" s="37"/>
      <x:c r="E14" s="37"/>
      <x:c r="F14" s="37"/>
      <x:c r="G14" s="37"/>
      <x:c r="H14" s="52"/>
      <x:c r="I14" s="37"/>
      <x:c r="J14" s="37"/>
      <x:c r="K14" s="37"/>
      <x:c r="L14" s="37"/>
    </x:row>
    <x:row r="15">
      <x:c r="A15" s="37"/>
      <x:c r="B15" s="37"/>
      <x:c r="C15" s="37"/>
      <x:c r="D15" s="37"/>
      <x:c r="E15" s="37"/>
      <x:c r="F15" s="37"/>
      <x:c r="G15" s="37"/>
      <x:c r="H15" s="52"/>
      <x:c r="I15" s="37"/>
      <x:c r="J15" s="37"/>
      <x:c r="K15" s="37"/>
      <x:c r="L15" s="37"/>
    </x:row>
    <x:row r="16">
      <x:c r="A16" s="37"/>
      <x:c r="B16" s="37"/>
      <x:c r="C16" s="37"/>
      <x:c r="D16" s="37"/>
      <x:c r="E16" s="37"/>
      <x:c r="F16" s="37"/>
      <x:c r="G16" s="37"/>
      <x:c r="H16" s="52"/>
      <x:c r="I16" s="37"/>
      <x:c r="J16" s="37"/>
      <x:c r="K16" s="37"/>
      <x:c r="L16" s="37"/>
    </x:row>
    <x:row r="17">
      <x:c r="A17" s="37"/>
      <x:c r="B17" s="37"/>
      <x:c r="C17" s="37"/>
      <x:c r="D17" s="37"/>
      <x:c r="E17" s="37"/>
      <x:c r="F17" s="37"/>
      <x:c r="G17" s="37"/>
      <x:c r="H17" s="52"/>
      <x:c r="I17" s="37"/>
      <x:c r="J17" s="37"/>
      <x:c r="K17" s="37"/>
      <x:c r="L17" s="37"/>
    </x:row>
    <x:row r="18">
      <x:c r="A18" s="37"/>
      <x:c r="B18" s="37"/>
      <x:c r="C18" s="37"/>
      <x:c r="D18" s="37"/>
      <x:c r="E18" s="37"/>
      <x:c r="F18" s="37"/>
      <x:c r="G18" s="37"/>
      <x:c r="H18" s="52"/>
      <x:c r="I18" s="37"/>
      <x:c r="J18" s="37"/>
      <x:c r="K18" s="37"/>
      <x:c r="L18" s="37"/>
    </x:row>
    <x:row r="19">
      <x:c r="A19" s="37"/>
      <x:c r="B19" s="37"/>
      <x:c r="C19" s="37"/>
      <x:c r="D19" s="37"/>
      <x:c r="E19" s="37"/>
      <x:c r="F19" s="37"/>
      <x:c r="G19" s="37"/>
      <x:c r="H19" s="52"/>
      <x:c r="I19" s="37"/>
      <x:c r="J19" s="37"/>
      <x:c r="K19" s="37"/>
      <x:c r="L19" s="37"/>
    </x:row>
    <x:row r="20">
      <x:c r="A20" s="37"/>
      <x:c r="B20" s="37"/>
      <x:c r="C20" s="37"/>
      <x:c r="D20" s="37"/>
      <x:c r="E20" s="37"/>
      <x:c r="F20" s="37"/>
      <x:c r="G20" s="37"/>
      <x:c r="H20" s="52"/>
      <x:c r="I20" s="37"/>
      <x:c r="J20" s="37"/>
      <x:c r="K20" s="37"/>
      <x:c r="L20" s="37"/>
    </x:row>
    <x:row r="21">
      <x:c r="A21" s="37"/>
      <x:c r="B21" s="37"/>
      <x:c r="C21" s="37"/>
      <x:c r="D21" s="37"/>
      <x:c r="E21" s="37"/>
      <x:c r="F21" s="37"/>
      <x:c r="G21" s="37"/>
      <x:c r="H21" s="52"/>
      <x:c r="I21" s="37"/>
      <x:c r="J21" s="37"/>
      <x:c r="K21" s="37"/>
      <x:c r="L21" s="37"/>
    </x:row>
    <x:row r="22">
      <x:c r="A22" s="37"/>
      <x:c r="B22" s="37"/>
      <x:c r="C22" s="37"/>
      <x:c r="D22" s="37"/>
      <x:c r="E22" s="37"/>
      <x:c r="F22" s="37"/>
      <x:c r="G22" s="37"/>
      <x:c r="H22" s="52"/>
      <x:c r="I22" s="37"/>
      <x:c r="J22" s="37"/>
      <x:c r="K22" s="37"/>
      <x:c r="L22" s="37"/>
    </x:row>
    <x:row r="23">
      <x:c r="A23" s="37"/>
      <x:c r="B23" s="37"/>
      <x:c r="C23" s="37"/>
      <x:c r="D23" s="37"/>
      <x:c r="E23" s="37"/>
      <x:c r="F23" s="37"/>
      <x:c r="G23" s="37"/>
      <x:c r="H23" s="52"/>
      <x:c r="I23" s="37"/>
      <x:c r="J23" s="37"/>
      <x:c r="K23" s="37"/>
      <x:c r="L23" s="37"/>
    </x:row>
    <x:row r="24">
      <x:c r="A24" s="37"/>
      <x:c r="B24" s="37"/>
      <x:c r="C24" s="37"/>
      <x:c r="D24" s="37"/>
      <x:c r="E24" s="37"/>
      <x:c r="F24" s="37"/>
      <x:c r="G24" s="37"/>
      <x:c r="H24" s="52"/>
      <x:c r="I24" s="37"/>
      <x:c r="J24" s="37"/>
      <x:c r="K24" s="37"/>
      <x:c r="L24" s="37"/>
    </x:row>
    <x:row r="25">
      <x:c r="A25" s="37"/>
      <x:c r="B25" s="37"/>
      <x:c r="C25" s="37"/>
      <x:c r="D25" s="37"/>
      <x:c r="E25" s="37"/>
      <x:c r="F25" s="37"/>
      <x:c r="G25" s="37"/>
      <x:c r="H25" s="52"/>
      <x:c r="I25" s="37"/>
      <x:c r="J25" s="37"/>
      <x:c r="K25" s="37"/>
      <x:c r="L25" s="37"/>
    </x:row>
    <x:row r="26">
      <x:c r="A26" s="37"/>
      <x:c r="B26" s="37"/>
      <x:c r="C26" s="37"/>
      <x:c r="D26" s="37"/>
      <x:c r="E26" s="37"/>
      <x:c r="F26" s="37"/>
      <x:c r="G26" s="37"/>
      <x:c r="H26" s="52"/>
      <x:c r="I26" s="37"/>
      <x:c r="J26" s="37"/>
      <x:c r="K26" s="37"/>
      <x:c r="L26" s="37"/>
    </x:row>
    <x:row r="27">
      <x:c r="A27" s="37"/>
      <x:c r="B27" s="37"/>
      <x:c r="C27" s="37"/>
      <x:c r="D27" s="37"/>
      <x:c r="E27" s="37"/>
      <x:c r="F27" s="37"/>
      <x:c r="G27" s="37"/>
      <x:c r="H27" s="52"/>
      <x:c r="I27" s="37"/>
      <x:c r="J27" s="37"/>
      <x:c r="K27" s="37"/>
      <x:c r="L27" s="37"/>
    </x:row>
    <x:row r="28">
      <x:c r="A28" s="37"/>
      <x:c r="B28" s="37"/>
      <x:c r="C28" s="37"/>
      <x:c r="D28" s="37"/>
      <x:c r="E28" s="37"/>
      <x:c r="F28" s="37"/>
      <x:c r="G28" s="37"/>
      <x:c r="H28" s="52"/>
      <x:c r="I28" s="37"/>
      <x:c r="J28" s="37"/>
      <x:c r="K28" s="37"/>
      <x:c r="L28" s="37"/>
    </x:row>
    <x:row r="29">
      <x:c r="A29" s="37"/>
      <x:c r="B29" s="37"/>
      <x:c r="C29" s="37"/>
      <x:c r="D29" s="37"/>
      <x:c r="E29" s="37"/>
      <x:c r="F29" s="37"/>
      <x:c r="G29" s="37"/>
      <x:c r="H29" s="52"/>
      <x:c r="I29" s="37"/>
      <x:c r="J29" s="37"/>
      <x:c r="K29" s="37"/>
      <x:c r="L29" s="37"/>
    </x:row>
    <x:row r="30">
      <x:c r="A30" s="37"/>
      <x:c r="B30" s="37"/>
      <x:c r="C30" s="37"/>
      <x:c r="D30" s="37"/>
      <x:c r="E30" s="37"/>
      <x:c r="F30" s="37"/>
      <x:c r="G30" s="37"/>
      <x:c r="H30" s="52"/>
      <x:c r="I30" s="37"/>
      <x:c r="J30" s="37"/>
      <x:c r="K30" s="37"/>
      <x:c r="L30" s="37"/>
    </x:row>
    <x:row r="31">
      <x:c r="A31" s="37"/>
      <x:c r="B31" s="37"/>
      <x:c r="C31" s="37"/>
      <x:c r="D31" s="37"/>
      <x:c r="E31" s="37"/>
      <x:c r="F31" s="37"/>
      <x:c r="G31" s="37"/>
      <x:c r="H31" s="52"/>
      <x:c r="I31" s="37"/>
      <x:c r="J31" s="37"/>
      <x:c r="K31" s="37"/>
      <x:c r="L31" s="37"/>
    </x:row>
    <x:row r="32">
      <x:c r="A32" s="37"/>
      <x:c r="B32" s="37"/>
      <x:c r="C32" s="37"/>
      <x:c r="D32" s="37"/>
      <x:c r="E32" s="37"/>
      <x:c r="F32" s="37"/>
      <x:c r="G32" s="37"/>
      <x:c r="H32" s="52"/>
      <x:c r="I32" s="37"/>
      <x:c r="J32" s="37"/>
      <x:c r="K32" s="37"/>
      <x:c r="L32" s="37"/>
    </x:row>
    <x:row r="33">
      <x:c r="A33" s="37"/>
      <x:c r="B33" s="37"/>
      <x:c r="C33" s="37"/>
      <x:c r="D33" s="37"/>
      <x:c r="E33" s="37"/>
      <x:c r="F33" s="37"/>
      <x:c r="G33" s="37"/>
      <x:c r="H33" s="52"/>
      <x:c r="I33" s="37"/>
      <x:c r="J33" s="37"/>
      <x:c r="K33" s="37"/>
      <x:c r="L33" s="37"/>
    </x:row>
    <x:row r="34">
      <x:c r="A34" s="37"/>
      <x:c r="B34" s="37"/>
      <x:c r="C34" s="37"/>
      <x:c r="D34" s="37"/>
      <x:c r="E34" s="37"/>
      <x:c r="F34" s="37"/>
      <x:c r="G34" s="37"/>
      <x:c r="H34" s="52"/>
      <x:c r="I34" s="37"/>
      <x:c r="J34" s="37"/>
      <x:c r="K34" s="37"/>
      <x:c r="L34" s="37"/>
    </x:row>
    <x:row r="35">
      <x:c r="A35" s="37"/>
      <x:c r="B35" s="37"/>
      <x:c r="C35" s="37"/>
      <x:c r="D35" s="37"/>
      <x:c r="E35" s="37"/>
      <x:c r="F35" s="37"/>
      <x:c r="G35" s="37"/>
      <x:c r="H35" s="52"/>
      <x:c r="I35" s="37"/>
      <x:c r="J35" s="37"/>
      <x:c r="K35" s="37"/>
      <x:c r="L35" s="37"/>
    </x:row>
    <x:row r="36">
      <x:c r="A36" s="37"/>
      <x:c r="B36" s="37"/>
      <x:c r="C36" s="37"/>
      <x:c r="D36" s="37"/>
      <x:c r="E36" s="37"/>
      <x:c r="F36" s="37"/>
      <x:c r="G36" s="37"/>
      <x:c r="H36" s="52"/>
      <x:c r="I36" s="37"/>
      <x:c r="J36" s="37"/>
      <x:c r="K36" s="37"/>
      <x:c r="L36" s="37"/>
    </x:row>
    <x:row r="37">
      <x:c r="A37" s="37"/>
      <x:c r="B37" s="37"/>
      <x:c r="C37" s="37"/>
      <x:c r="D37" s="37"/>
      <x:c r="E37" s="37"/>
      <x:c r="F37" s="37"/>
      <x:c r="G37" s="37"/>
      <x:c r="H37" s="52"/>
      <x:c r="I37" s="37"/>
      <x:c r="J37" s="37"/>
      <x:c r="K37" s="37"/>
      <x:c r="L37" s="37"/>
    </x:row>
    <x:row r="38">
      <x:c r="A38" s="37"/>
      <x:c r="B38" s="37"/>
      <x:c r="C38" s="37"/>
      <x:c r="D38" s="37"/>
      <x:c r="E38" s="37"/>
      <x:c r="F38" s="37"/>
      <x:c r="G38" s="37"/>
      <x:c r="H38" s="52"/>
      <x:c r="I38" s="37"/>
      <x:c r="J38" s="37"/>
      <x:c r="K38" s="37"/>
      <x:c r="L38" s="37"/>
    </x:row>
    <x:row r="39">
      <x:c r="A39" s="37"/>
      <x:c r="B39" s="37"/>
      <x:c r="C39" s="37"/>
      <x:c r="D39" s="37"/>
      <x:c r="E39" s="37"/>
      <x:c r="F39" s="37"/>
      <x:c r="G39" s="37"/>
      <x:c r="H39" s="52"/>
      <x:c r="I39" s="37"/>
      <x:c r="J39" s="37"/>
      <x:c r="K39" s="37"/>
      <x:c r="L39" s="37"/>
    </x:row>
    <x:row r="40">
      <x:c r="A40" s="37"/>
      <x:c r="B40" s="37"/>
      <x:c r="C40" s="37"/>
      <x:c r="D40" s="37"/>
      <x:c r="E40" s="37"/>
      <x:c r="F40" s="37"/>
      <x:c r="G40" s="37"/>
      <x:c r="H40" s="52"/>
      <x:c r="I40" s="37"/>
      <x:c r="J40" s="37"/>
      <x:c r="K40" s="37"/>
      <x:c r="L40" s="37"/>
    </x:row>
    <x:row r="41">
      <x:c r="A41" s="37"/>
      <x:c r="B41" s="37"/>
      <x:c r="C41" s="37"/>
      <x:c r="D41" s="37"/>
      <x:c r="E41" s="37"/>
      <x:c r="F41" s="37"/>
      <x:c r="G41" s="37"/>
      <x:c r="H41" s="52"/>
      <x:c r="I41" s="37"/>
      <x:c r="J41" s="37"/>
      <x:c r="K41" s="37"/>
      <x:c r="L41" s="37"/>
    </x:row>
    <x:row r="42">
      <x:c r="A42" s="37"/>
      <x:c r="B42" s="37"/>
      <x:c r="C42" s="37"/>
      <x:c r="D42" s="37"/>
      <x:c r="E42" s="37"/>
      <x:c r="F42" s="37"/>
      <x:c r="G42" s="37"/>
      <x:c r="H42" s="52"/>
      <x:c r="I42" s="37"/>
      <x:c r="J42" s="37"/>
      <x:c r="K42" s="37"/>
      <x:c r="L42" s="37"/>
    </x:row>
    <x:row r="43">
      <x:c r="A43" s="37"/>
      <x:c r="B43" s="37"/>
      <x:c r="C43" s="37"/>
      <x:c r="D43" s="37"/>
      <x:c r="E43" s="37"/>
      <x:c r="F43" s="37"/>
      <x:c r="G43" s="37"/>
      <x:c r="H43" s="52"/>
      <x:c r="I43" s="37"/>
      <x:c r="J43" s="37"/>
      <x:c r="K43" s="37"/>
      <x:c r="L43" s="37"/>
    </x:row>
    <x:row r="44">
      <x:c r="A44" s="37"/>
      <x:c r="B44" s="37"/>
      <x:c r="C44" s="37"/>
      <x:c r="D44" s="37"/>
      <x:c r="E44" s="37"/>
      <x:c r="F44" s="37"/>
      <x:c r="G44" s="37"/>
      <x:c r="H44" s="52"/>
      <x:c r="I44" s="37"/>
      <x:c r="J44" s="37"/>
      <x:c r="K44" s="37"/>
      <x:c r="L44" s="37"/>
    </x:row>
    <x:row r="45">
      <x:c r="A45" s="37"/>
      <x:c r="B45" s="37"/>
      <x:c r="C45" s="37"/>
      <x:c r="D45" s="37"/>
      <x:c r="E45" s="37"/>
      <x:c r="F45" s="37"/>
      <x:c r="G45" s="37"/>
      <x:c r="H45" s="52"/>
      <x:c r="I45" s="37"/>
      <x:c r="J45" s="37"/>
      <x:c r="K45" s="37"/>
      <x:c r="L45" s="37"/>
    </x:row>
    <x:row r="46">
      <x:c r="A46" s="37"/>
      <x:c r="B46" s="37"/>
      <x:c r="C46" s="37"/>
      <x:c r="D46" s="37"/>
      <x:c r="E46" s="37"/>
      <x:c r="F46" s="37"/>
      <x:c r="G46" s="37"/>
      <x:c r="H46" s="52"/>
      <x:c r="I46" s="37"/>
      <x:c r="J46" s="37"/>
      <x:c r="K46" s="37"/>
      <x:c r="L46" s="37"/>
    </x:row>
    <x:row r="47">
      <x:c r="A47" s="37"/>
      <x:c r="B47" s="37"/>
      <x:c r="C47" s="37"/>
      <x:c r="D47" s="37"/>
      <x:c r="E47" s="37"/>
      <x:c r="F47" s="37"/>
      <x:c r="G47" s="37"/>
      <x:c r="H47" s="52"/>
      <x:c r="I47" s="37"/>
      <x:c r="J47" s="37"/>
      <x:c r="K47" s="37"/>
      <x:c r="L47" s="37"/>
    </x:row>
    <x:row r="48">
      <x:c r="A48" s="37"/>
      <x:c r="B48" s="37"/>
      <x:c r="C48" s="37"/>
      <x:c r="D48" s="37"/>
      <x:c r="E48" s="37"/>
      <x:c r="F48" s="37"/>
      <x:c r="G48" s="37"/>
      <x:c r="H48" s="52"/>
      <x:c r="I48" s="37"/>
      <x:c r="J48" s="37"/>
      <x:c r="K48" s="37"/>
      <x:c r="L48" s="37"/>
    </x:row>
    <x:row r="49">
      <x:c r="A49" s="37"/>
      <x:c r="B49" s="37"/>
      <x:c r="C49" s="37"/>
      <x:c r="D49" s="37"/>
      <x:c r="E49" s="37"/>
      <x:c r="F49" s="37"/>
      <x:c r="G49" s="37"/>
      <x:c r="H49" s="52"/>
      <x:c r="I49" s="37"/>
      <x:c r="J49" s="37"/>
      <x:c r="K49" s="37"/>
      <x:c r="L49" s="37"/>
    </x:row>
    <x:row r="50">
      <x:c r="A50" s="37"/>
      <x:c r="B50" s="37"/>
      <x:c r="C50" s="37"/>
      <x:c r="D50" s="37"/>
      <x:c r="E50" s="37"/>
      <x:c r="F50" s="37"/>
      <x:c r="G50" s="37"/>
      <x:c r="H50" s="52"/>
      <x:c r="I50" s="37"/>
      <x:c r="J50" s="37"/>
      <x:c r="K50" s="37"/>
      <x:c r="L50" s="37"/>
    </x:row>
    <x:row r="51">
      <x:c r="A51" s="37"/>
      <x:c r="B51" s="37"/>
      <x:c r="C51" s="37"/>
      <x:c r="D51" s="37"/>
      <x:c r="E51" s="37"/>
      <x:c r="F51" s="37"/>
      <x:c r="G51" s="37"/>
      <x:c r="H51" s="52"/>
      <x:c r="I51" s="37"/>
      <x:c r="J51" s="37"/>
      <x:c r="K51" s="37"/>
      <x:c r="L51" s="37"/>
    </x:row>
    <x:row r="52">
      <x:c r="A52" s="37"/>
      <x:c r="B52" s="37"/>
      <x:c r="C52" s="37"/>
      <x:c r="D52" s="37"/>
      <x:c r="E52" s="37"/>
      <x:c r="F52" s="37"/>
      <x:c r="G52" s="37"/>
      <x:c r="H52" s="52"/>
      <x:c r="I52" s="37"/>
      <x:c r="J52" s="37"/>
      <x:c r="K52" s="37"/>
      <x:c r="L52" s="37"/>
    </x:row>
    <x:row r="53">
      <x:c r="A53" s="37"/>
      <x:c r="B53" s="37"/>
      <x:c r="C53" s="37"/>
      <x:c r="D53" s="37"/>
      <x:c r="E53" s="37"/>
      <x:c r="F53" s="37"/>
      <x:c r="G53" s="37"/>
      <x:c r="H53" s="52"/>
      <x:c r="I53" s="37"/>
      <x:c r="J53" s="37"/>
      <x:c r="K53" s="37"/>
      <x:c r="L53" s="37"/>
    </x:row>
    <x:row r="54">
      <x:c r="A54" s="37"/>
      <x:c r="B54" s="37"/>
      <x:c r="C54" s="37"/>
      <x:c r="D54" s="37"/>
      <x:c r="E54" s="37"/>
      <x:c r="F54" s="37"/>
      <x:c r="G54" s="37"/>
      <x:c r="H54" s="52"/>
      <x:c r="I54" s="37"/>
      <x:c r="J54" s="37"/>
      <x:c r="K54" s="37"/>
      <x:c r="L54" s="37"/>
    </x:row>
    <x:row r="55">
      <x:c r="A55" s="37"/>
      <x:c r="B55" s="37"/>
      <x:c r="C55" s="37"/>
      <x:c r="D55" s="37"/>
      <x:c r="E55" s="37"/>
      <x:c r="F55" s="37"/>
      <x:c r="G55" s="37"/>
      <x:c r="H55" s="52"/>
      <x:c r="I55" s="37"/>
      <x:c r="J55" s="37"/>
      <x:c r="K55" s="37"/>
      <x:c r="L55" s="37"/>
    </x:row>
    <x:row r="56">
      <x:c r="A56" s="37"/>
      <x:c r="B56" s="37"/>
      <x:c r="C56" s="37"/>
      <x:c r="D56" s="37"/>
      <x:c r="E56" s="37"/>
      <x:c r="F56" s="37"/>
      <x:c r="G56" s="37"/>
      <x:c r="H56" s="52"/>
      <x:c r="I56" s="37"/>
      <x:c r="J56" s="37"/>
      <x:c r="K56" s="37"/>
      <x:c r="L56" s="37"/>
    </x:row>
    <x:row r="57">
      <x:c r="A57" s="37"/>
      <x:c r="B57" s="37"/>
      <x:c r="C57" s="37"/>
      <x:c r="D57" s="37"/>
      <x:c r="E57" s="37"/>
      <x:c r="F57" s="37"/>
      <x:c r="G57" s="37"/>
      <x:c r="H57" s="52"/>
      <x:c r="I57" s="37"/>
      <x:c r="J57" s="37"/>
      <x:c r="K57" s="37"/>
      <x:c r="L57" s="37"/>
    </x:row>
    <x:row r="58">
      <x:c r="A58" s="37"/>
      <x:c r="B58" s="37"/>
      <x:c r="C58" s="37"/>
      <x:c r="D58" s="37"/>
      <x:c r="E58" s="37"/>
      <x:c r="F58" s="37"/>
      <x:c r="G58" s="37"/>
      <x:c r="H58" s="52"/>
      <x:c r="I58" s="37"/>
      <x:c r="J58" s="37"/>
      <x:c r="K58" s="37"/>
      <x:c r="L58" s="37"/>
    </x:row>
    <x:row r="59">
      <x:c r="A59" s="37"/>
      <x:c r="B59" s="37"/>
      <x:c r="C59" s="37"/>
      <x:c r="D59" s="37"/>
      <x:c r="E59" s="37"/>
      <x:c r="F59" s="37"/>
      <x:c r="G59" s="37"/>
      <x:c r="H59" s="52"/>
      <x:c r="I59" s="37"/>
      <x:c r="J59" s="37"/>
      <x:c r="K59" s="37"/>
      <x:c r="L59" s="37"/>
    </x:row>
    <x:row r="60">
      <x:c r="A60" s="37"/>
      <x:c r="B60" s="37"/>
      <x:c r="C60" s="37"/>
      <x:c r="D60" s="37"/>
      <x:c r="E60" s="37"/>
      <x:c r="F60" s="37"/>
      <x:c r="G60" s="37"/>
      <x:c r="H60" s="52"/>
      <x:c r="I60" s="37"/>
      <x:c r="J60" s="37"/>
      <x:c r="K60" s="37"/>
      <x:c r="L60" s="37"/>
    </x:row>
    <x:row r="61">
      <x:c r="A61" s="37"/>
      <x:c r="B61" s="37"/>
      <x:c r="C61" s="37"/>
      <x:c r="D61" s="37"/>
      <x:c r="E61" s="37"/>
      <x:c r="F61" s="37"/>
      <x:c r="G61" s="37"/>
      <x:c r="H61" s="52"/>
      <x:c r="I61" s="37"/>
      <x:c r="J61" s="37"/>
      <x:c r="K61" s="37"/>
      <x:c r="L61" s="37"/>
    </x:row>
    <x:row r="62">
      <x:c r="A62" s="37"/>
      <x:c r="B62" s="37"/>
      <x:c r="C62" s="37"/>
      <x:c r="D62" s="37"/>
      <x:c r="E62" s="37"/>
      <x:c r="F62" s="37"/>
      <x:c r="G62" s="37"/>
      <x:c r="H62" s="52"/>
      <x:c r="I62" s="37"/>
      <x:c r="J62" s="37"/>
      <x:c r="K62" s="37"/>
      <x:c r="L62" s="37"/>
    </x:row>
    <x:row r="63">
      <x:c r="A63" s="37"/>
      <x:c r="B63" s="37"/>
      <x:c r="C63" s="37"/>
      <x:c r="D63" s="37"/>
      <x:c r="E63" s="37"/>
      <x:c r="F63" s="37"/>
      <x:c r="G63" s="37"/>
      <x:c r="H63" s="52"/>
      <x:c r="I63" s="37"/>
      <x:c r="J63" s="37"/>
      <x:c r="K63" s="37"/>
      <x:c r="L63" s="37"/>
    </x:row>
    <x:row r="64">
      <x:c r="A64" s="37"/>
      <x:c r="B64" s="37"/>
      <x:c r="C64" s="37"/>
      <x:c r="D64" s="37"/>
      <x:c r="E64" s="37"/>
      <x:c r="F64" s="37"/>
      <x:c r="G64" s="37"/>
      <x:c r="H64" s="52"/>
      <x:c r="I64" s="37"/>
      <x:c r="J64" s="37"/>
      <x:c r="K64" s="37"/>
      <x:c r="L64" s="37"/>
    </x:row>
    <x:row r="65">
      <x:c r="A65" s="37"/>
      <x:c r="B65" s="37"/>
      <x:c r="C65" s="37"/>
      <x:c r="D65" s="37"/>
      <x:c r="E65" s="37"/>
      <x:c r="F65" s="37"/>
      <x:c r="G65" s="37"/>
      <x:c r="H65" s="52"/>
      <x:c r="I65" s="37"/>
      <x:c r="J65" s="37"/>
      <x:c r="K65" s="37"/>
      <x:c r="L65" s="37"/>
    </x:row>
    <x:row r="66">
      <x:c r="A66" s="37"/>
      <x:c r="B66" s="37"/>
      <x:c r="C66" s="37"/>
      <x:c r="D66" s="37"/>
      <x:c r="E66" s="37"/>
      <x:c r="F66" s="37"/>
      <x:c r="G66" s="37"/>
      <x:c r="H66" s="52"/>
      <x:c r="I66" s="37"/>
      <x:c r="J66" s="37"/>
      <x:c r="K66" s="37"/>
      <x:c r="L66" s="37"/>
    </x:row>
    <x:row r="67">
      <x:c r="A67" s="37"/>
      <x:c r="B67" s="37"/>
      <x:c r="C67" s="37"/>
      <x:c r="D67" s="37"/>
      <x:c r="E67" s="37"/>
      <x:c r="F67" s="37"/>
      <x:c r="G67" s="37"/>
      <x:c r="H67" s="52"/>
      <x:c r="I67" s="37"/>
      <x:c r="J67" s="37"/>
      <x:c r="K67" s="37"/>
      <x:c r="L67" s="37"/>
    </x:row>
    <x:row r="68">
      <x:c r="A68" s="37"/>
      <x:c r="B68" s="37"/>
      <x:c r="C68" s="37"/>
      <x:c r="D68" s="37"/>
      <x:c r="E68" s="37"/>
      <x:c r="F68" s="37"/>
      <x:c r="G68" s="37"/>
      <x:c r="H68" s="52"/>
      <x:c r="I68" s="37"/>
      <x:c r="J68" s="37"/>
      <x:c r="K68" s="37"/>
      <x:c r="L68" s="37"/>
    </x:row>
    <x:row r="69">
      <x:c r="A69" s="37"/>
      <x:c r="B69" s="37"/>
      <x:c r="C69" s="37"/>
      <x:c r="D69" s="37"/>
      <x:c r="E69" s="37"/>
      <x:c r="F69" s="37"/>
      <x:c r="G69" s="37"/>
      <x:c r="H69" s="52"/>
      <x:c r="I69" s="37"/>
      <x:c r="J69" s="37"/>
      <x:c r="K69" s="37"/>
      <x:c r="L69" s="37"/>
    </x:row>
    <x:row r="70">
      <x:c r="A70" s="37"/>
      <x:c r="B70" s="37"/>
      <x:c r="C70" s="37"/>
      <x:c r="D70" s="37"/>
      <x:c r="E70" s="37"/>
      <x:c r="F70" s="37"/>
      <x:c r="G70" s="37"/>
      <x:c r="H70" s="52"/>
      <x:c r="I70" s="37"/>
      <x:c r="J70" s="37"/>
      <x:c r="K70" s="37"/>
      <x:c r="L70" s="37"/>
    </x:row>
    <x:row r="71">
      <x:c r="A71" s="37"/>
      <x:c r="B71" s="37"/>
      <x:c r="C71" s="37"/>
      <x:c r="D71" s="37"/>
      <x:c r="E71" s="37"/>
      <x:c r="F71" s="37"/>
      <x:c r="G71" s="37"/>
      <x:c r="H71" s="52"/>
      <x:c r="I71" s="37"/>
      <x:c r="J71" s="37"/>
      <x:c r="K71" s="37"/>
      <x:c r="L71" s="37"/>
    </x:row>
    <x:row r="72">
      <x:c r="A72" s="37"/>
      <x:c r="B72" s="37"/>
      <x:c r="C72" s="37"/>
      <x:c r="D72" s="37"/>
      <x:c r="E72" s="37"/>
      <x:c r="F72" s="37"/>
      <x:c r="G72" s="37"/>
      <x:c r="H72" s="52"/>
      <x:c r="I72" s="37"/>
      <x:c r="J72" s="37"/>
      <x:c r="K72" s="37"/>
      <x:c r="L72" s="37"/>
    </x:row>
    <x:row r="73">
      <x:c r="A73" s="37"/>
      <x:c r="B73" s="37"/>
      <x:c r="C73" s="37"/>
      <x:c r="D73" s="37"/>
      <x:c r="E73" s="37"/>
      <x:c r="F73" s="37"/>
      <x:c r="G73" s="37"/>
      <x:c r="H73" s="52"/>
      <x:c r="I73" s="37"/>
      <x:c r="J73" s="37"/>
      <x:c r="K73" s="37"/>
      <x:c r="L73" s="37"/>
    </x:row>
    <x:row r="74">
      <x:c r="A74" s="37"/>
      <x:c r="B74" s="37"/>
      <x:c r="C74" s="37"/>
      <x:c r="D74" s="37"/>
      <x:c r="E74" s="37"/>
      <x:c r="F74" s="37"/>
      <x:c r="G74" s="37"/>
      <x:c r="H74" s="52"/>
      <x:c r="I74" s="37"/>
      <x:c r="J74" s="37"/>
      <x:c r="K74" s="37"/>
      <x:c r="L74" s="37"/>
    </x:row>
    <x:row r="75">
      <x:c r="A75" s="37"/>
      <x:c r="B75" s="37"/>
      <x:c r="C75" s="37"/>
      <x:c r="D75" s="37"/>
      <x:c r="E75" s="37"/>
      <x:c r="F75" s="37"/>
      <x:c r="G75" s="37"/>
      <x:c r="H75" s="52"/>
      <x:c r="I75" s="37"/>
      <x:c r="J75" s="37"/>
      <x:c r="K75" s="37"/>
      <x:c r="L75" s="37"/>
    </x:row>
    <x:row r="76">
      <x:c r="A76" s="37"/>
      <x:c r="B76" s="37"/>
      <x:c r="C76" s="37"/>
      <x:c r="D76" s="37"/>
      <x:c r="E76" s="37"/>
      <x:c r="F76" s="37"/>
      <x:c r="G76" s="37"/>
      <x:c r="H76" s="52"/>
      <x:c r="I76" s="37"/>
      <x:c r="J76" s="37"/>
      <x:c r="K76" s="37"/>
      <x:c r="L76" s="37"/>
    </x:row>
    <x:row r="77">
      <x:c r="A77" s="37"/>
      <x:c r="B77" s="37"/>
      <x:c r="C77" s="37"/>
      <x:c r="D77" s="37"/>
      <x:c r="E77" s="37"/>
      <x:c r="F77" s="37"/>
      <x:c r="G77" s="37"/>
      <x:c r="H77" s="52"/>
      <x:c r="I77" s="37"/>
      <x:c r="J77" s="37"/>
      <x:c r="K77" s="37"/>
      <x:c r="L77" s="37"/>
    </x:row>
    <x:row r="78">
      <x:c r="A78" s="37"/>
      <x:c r="B78" s="37"/>
      <x:c r="C78" s="37"/>
      <x:c r="D78" s="37"/>
      <x:c r="E78" s="37"/>
      <x:c r="F78" s="37"/>
      <x:c r="G78" s="37"/>
      <x:c r="H78" s="52"/>
      <x:c r="I78" s="37"/>
      <x:c r="J78" s="37"/>
      <x:c r="K78" s="37"/>
      <x:c r="L78" s="37"/>
    </x:row>
    <x:row r="79">
      <x:c r="A79" s="37"/>
      <x:c r="B79" s="37"/>
      <x:c r="C79" s="37"/>
      <x:c r="D79" s="37"/>
      <x:c r="E79" s="37"/>
      <x:c r="F79" s="37"/>
      <x:c r="G79" s="37"/>
      <x:c r="H79" s="52"/>
      <x:c r="I79" s="37"/>
      <x:c r="J79" s="37"/>
      <x:c r="K79" s="37"/>
      <x:c r="L79" s="37"/>
    </x:row>
    <x:row r="80">
      <x:c r="A80" s="37"/>
      <x:c r="B80" s="37"/>
      <x:c r="C80" s="37"/>
      <x:c r="D80" s="37"/>
      <x:c r="E80" s="37"/>
      <x:c r="F80" s="37"/>
      <x:c r="G80" s="37"/>
      <x:c r="H80" s="52"/>
      <x:c r="I80" s="37"/>
      <x:c r="J80" s="37"/>
      <x:c r="K80" s="37"/>
      <x:c r="L80" s="37"/>
    </x:row>
    <x:row r="81">
      <x:c r="A81" s="37"/>
      <x:c r="B81" s="37"/>
      <x:c r="C81" s="37"/>
      <x:c r="D81" s="37"/>
      <x:c r="E81" s="37"/>
      <x:c r="F81" s="37"/>
      <x:c r="G81" s="37"/>
      <x:c r="H81" s="52"/>
      <x:c r="I81" s="37"/>
      <x:c r="J81" s="37"/>
      <x:c r="K81" s="37"/>
      <x:c r="L81" s="37"/>
    </x:row>
    <x:row r="82">
      <x:c r="A82" s="37"/>
      <x:c r="B82" s="37"/>
      <x:c r="C82" s="37"/>
      <x:c r="D82" s="37"/>
      <x:c r="E82" s="37"/>
      <x:c r="F82" s="37"/>
      <x:c r="G82" s="37"/>
      <x:c r="H82" s="52"/>
      <x:c r="I82" s="37"/>
      <x:c r="J82" s="37"/>
      <x:c r="K82" s="37"/>
      <x:c r="L82" s="37"/>
    </x:row>
    <x:row r="83">
      <x:c r="A83" s="37"/>
      <x:c r="B83" s="37"/>
      <x:c r="C83" s="37"/>
      <x:c r="D83" s="37"/>
      <x:c r="E83" s="37"/>
      <x:c r="F83" s="37"/>
      <x:c r="G83" s="37"/>
      <x:c r="H83" s="52"/>
      <x:c r="I83" s="37"/>
      <x:c r="J83" s="37"/>
      <x:c r="K83" s="37"/>
      <x:c r="L83" s="37"/>
    </x:row>
    <x:row r="84">
      <x:c r="A84" s="37"/>
      <x:c r="B84" s="37"/>
      <x:c r="C84" s="37"/>
      <x:c r="D84" s="37"/>
      <x:c r="E84" s="37"/>
      <x:c r="F84" s="37"/>
      <x:c r="G84" s="37"/>
      <x:c r="H84" s="52"/>
      <x:c r="I84" s="37"/>
      <x:c r="J84" s="37"/>
      <x:c r="K84" s="37"/>
      <x:c r="L84" s="37"/>
    </x:row>
    <x:row r="85">
      <x:c r="A85" s="37"/>
      <x:c r="B85" s="37"/>
      <x:c r="C85" s="37"/>
      <x:c r="D85" s="37"/>
      <x:c r="E85" s="37"/>
      <x:c r="F85" s="37"/>
      <x:c r="G85" s="37"/>
      <x:c r="H85" s="52"/>
      <x:c r="I85" s="37"/>
      <x:c r="J85" s="37"/>
      <x:c r="K85" s="37"/>
      <x:c r="L85" s="37"/>
    </x:row>
    <x:row r="86">
      <x:c r="A86" s="37"/>
      <x:c r="B86" s="37"/>
      <x:c r="C86" s="37"/>
      <x:c r="D86" s="37"/>
      <x:c r="E86" s="37"/>
      <x:c r="F86" s="37"/>
      <x:c r="G86" s="37"/>
      <x:c r="H86" s="52"/>
      <x:c r="I86" s="37"/>
      <x:c r="J86" s="37"/>
      <x:c r="K86" s="37"/>
      <x:c r="L86" s="37"/>
    </x:row>
    <x:row r="87">
      <x:c r="A87" s="37"/>
      <x:c r="B87" s="37"/>
      <x:c r="C87" s="37"/>
      <x:c r="D87" s="37"/>
      <x:c r="E87" s="37"/>
      <x:c r="F87" s="37"/>
      <x:c r="G87" s="37"/>
      <x:c r="H87" s="52"/>
      <x:c r="I87" s="37"/>
      <x:c r="J87" s="37"/>
      <x:c r="K87" s="37"/>
      <x:c r="L87" s="37"/>
    </x:row>
    <x:row r="88">
      <x:c r="A88" s="37"/>
      <x:c r="B88" s="37"/>
      <x:c r="C88" s="37"/>
      <x:c r="D88" s="37"/>
      <x:c r="E88" s="37"/>
      <x:c r="F88" s="37"/>
      <x:c r="G88" s="37"/>
      <x:c r="H88" s="52"/>
      <x:c r="I88" s="37"/>
      <x:c r="J88" s="37"/>
      <x:c r="K88" s="37"/>
      <x:c r="L88" s="37"/>
    </x:row>
    <x:row r="89">
      <x:c r="A89" s="37"/>
      <x:c r="B89" s="37"/>
      <x:c r="C89" s="37"/>
      <x:c r="D89" s="37"/>
      <x:c r="E89" s="37"/>
      <x:c r="F89" s="37"/>
      <x:c r="G89" s="37"/>
      <x:c r="H89" s="52"/>
      <x:c r="I89" s="37"/>
      <x:c r="J89" s="37"/>
      <x:c r="K89" s="37"/>
      <x:c r="L89" s="37"/>
    </x:row>
    <x:row r="90">
      <x:c r="A90" s="37"/>
      <x:c r="B90" s="37"/>
      <x:c r="C90" s="37"/>
      <x:c r="D90" s="37"/>
      <x:c r="E90" s="37"/>
      <x:c r="F90" s="37"/>
      <x:c r="G90" s="37"/>
      <x:c r="H90" s="52"/>
      <x:c r="I90" s="37"/>
      <x:c r="J90" s="37"/>
      <x:c r="K90" s="37"/>
      <x:c r="L90" s="37"/>
    </x:row>
    <x:row r="91">
      <x:c r="A91" s="37"/>
      <x:c r="B91" s="37"/>
      <x:c r="C91" s="37"/>
      <x:c r="D91" s="37"/>
      <x:c r="E91" s="37"/>
      <x:c r="F91" s="37"/>
      <x:c r="G91" s="37"/>
      <x:c r="H91" s="52"/>
      <x:c r="I91" s="37"/>
      <x:c r="J91" s="37"/>
      <x:c r="K91" s="37"/>
      <x:c r="L91" s="37"/>
    </x:row>
    <x:row r="92">
      <x:c r="A92" s="37"/>
      <x:c r="B92" s="37"/>
      <x:c r="C92" s="37"/>
      <x:c r="D92" s="37"/>
      <x:c r="E92" s="37"/>
      <x:c r="F92" s="37"/>
      <x:c r="G92" s="37"/>
      <x:c r="H92" s="52"/>
      <x:c r="I92" s="37"/>
      <x:c r="J92" s="37"/>
      <x:c r="K92" s="37"/>
      <x:c r="L92" s="37"/>
    </x:row>
    <x:row r="93">
      <x:c r="A93" s="37"/>
      <x:c r="B93" s="37"/>
      <x:c r="C93" s="37"/>
      <x:c r="D93" s="37"/>
      <x:c r="E93" s="37"/>
      <x:c r="F93" s="37"/>
      <x:c r="G93" s="37"/>
      <x:c r="H93" s="52"/>
      <x:c r="I93" s="37"/>
      <x:c r="J93" s="37"/>
      <x:c r="K93" s="37"/>
      <x:c r="L93" s="37"/>
    </x:row>
    <x:row r="94">
      <x:c r="A94" s="37"/>
      <x:c r="B94" s="37"/>
      <x:c r="C94" s="37"/>
      <x:c r="D94" s="37"/>
      <x:c r="E94" s="37"/>
      <x:c r="F94" s="37"/>
      <x:c r="G94" s="37"/>
      <x:c r="H94" s="52"/>
      <x:c r="I94" s="37"/>
      <x:c r="J94" s="37"/>
      <x:c r="K94" s="37"/>
      <x:c r="L94" s="37"/>
    </x:row>
    <x:row r="95">
      <x:c r="A95" s="37"/>
      <x:c r="B95" s="37"/>
      <x:c r="C95" s="37"/>
      <x:c r="D95" s="37"/>
      <x:c r="E95" s="37"/>
      <x:c r="F95" s="37"/>
      <x:c r="G95" s="37"/>
      <x:c r="H95" s="52"/>
      <x:c r="I95" s="37"/>
      <x:c r="J95" s="37"/>
      <x:c r="K95" s="37"/>
      <x:c r="L95" s="37"/>
    </x:row>
    <x:row r="96">
      <x:c r="A96" s="37"/>
      <x:c r="B96" s="37"/>
      <x:c r="C96" s="37"/>
      <x:c r="D96" s="37"/>
      <x:c r="E96" s="37"/>
      <x:c r="F96" s="37"/>
      <x:c r="G96" s="37"/>
      <x:c r="H96" s="52"/>
      <x:c r="I96" s="37"/>
      <x:c r="J96" s="37"/>
      <x:c r="K96" s="37"/>
      <x:c r="L96" s="37"/>
    </x:row>
    <x:row r="97">
      <x:c r="A97" s="37"/>
      <x:c r="B97" s="37"/>
      <x:c r="C97" s="37"/>
      <x:c r="D97" s="37"/>
      <x:c r="E97" s="37"/>
      <x:c r="F97" s="37"/>
      <x:c r="G97" s="37"/>
      <x:c r="H97" s="52"/>
      <x:c r="I97" s="37"/>
      <x:c r="J97" s="37"/>
      <x:c r="K97" s="37"/>
      <x:c r="L97" s="37"/>
    </x:row>
    <x:row r="98">
      <x:c r="A98" s="37"/>
      <x:c r="B98" s="37"/>
      <x:c r="C98" s="37"/>
      <x:c r="D98" s="37"/>
      <x:c r="E98" s="37"/>
      <x:c r="F98" s="37"/>
      <x:c r="G98" s="37"/>
      <x:c r="H98" s="52"/>
      <x:c r="I98" s="37"/>
      <x:c r="J98" s="37"/>
      <x:c r="K98" s="37"/>
      <x:c r="L98" s="37"/>
    </x:row>
    <x:row r="99">
      <x:c r="A99" s="37"/>
      <x:c r="B99" s="37"/>
      <x:c r="C99" s="37"/>
      <x:c r="D99" s="37"/>
      <x:c r="E99" s="37"/>
      <x:c r="F99" s="37"/>
      <x:c r="G99" s="37"/>
      <x:c r="H99" s="52"/>
      <x:c r="I99" s="37"/>
      <x:c r="J99" s="37"/>
      <x:c r="K99" s="37"/>
      <x:c r="L99" s="37"/>
    </x:row>
    <x:row r="100">
      <x:c r="A100" s="37"/>
      <x:c r="B100" s="37"/>
      <x:c r="C100" s="37"/>
      <x:c r="D100" s="37"/>
      <x:c r="E100" s="37"/>
      <x:c r="F100" s="37"/>
      <x:c r="G100" s="37"/>
      <x:c r="H100" s="52"/>
      <x:c r="I100" s="37"/>
      <x:c r="J100" s="37"/>
      <x:c r="K100" s="37"/>
      <x:c r="L100" s="37"/>
    </x:row>
    <x:row r="101">
      <x:c r="A101" s="37"/>
      <x:c r="B101" s="37"/>
      <x:c r="C101" s="37"/>
      <x:c r="D101" s="37"/>
      <x:c r="E101" s="37"/>
      <x:c r="F101" s="37"/>
      <x:c r="G101" s="37"/>
      <x:c r="H101" s="52"/>
      <x:c r="I101" s="37"/>
      <x:c r="J101" s="37"/>
      <x:c r="K101" s="37"/>
      <x:c r="L101" s="37"/>
    </x:row>
    <x:row r="102">
      <x:c r="A102" s="37"/>
      <x:c r="B102" s="37"/>
      <x:c r="C102" s="37"/>
      <x:c r="D102" s="37"/>
      <x:c r="E102" s="37"/>
      <x:c r="F102" s="37"/>
      <x:c r="G102" s="37"/>
      <x:c r="H102" s="52"/>
      <x:c r="I102" s="37"/>
      <x:c r="J102" s="37"/>
      <x:c r="K102" s="37"/>
      <x:c r="L102" s="37"/>
    </x:row>
    <x:row r="103">
      <x:c r="A103" s="37"/>
      <x:c r="B103" s="37"/>
      <x:c r="C103" s="37"/>
      <x:c r="D103" s="37"/>
      <x:c r="E103" s="37"/>
      <x:c r="F103" s="37"/>
      <x:c r="G103" s="37"/>
      <x:c r="H103" s="52"/>
      <x:c r="I103" s="37"/>
      <x:c r="J103" s="37"/>
      <x:c r="K103" s="37"/>
      <x:c r="L103" s="37"/>
    </x:row>
    <x:row r="104">
      <x:c r="A104" s="37"/>
      <x:c r="B104" s="37"/>
      <x:c r="C104" s="37"/>
      <x:c r="D104" s="37"/>
      <x:c r="E104" s="37"/>
      <x:c r="F104" s="37"/>
      <x:c r="G104" s="37"/>
      <x:c r="H104" s="52"/>
      <x:c r="I104" s="37"/>
      <x:c r="J104" s="37"/>
      <x:c r="K104" s="37"/>
      <x:c r="L104" s="37"/>
    </x:row>
    <x:row r="105">
      <x:c r="A105" s="37"/>
      <x:c r="B105" s="37"/>
      <x:c r="C105" s="37"/>
      <x:c r="D105" s="37"/>
      <x:c r="E105" s="37"/>
      <x:c r="F105" s="37"/>
      <x:c r="G105" s="37"/>
      <x:c r="H105" s="52"/>
      <x:c r="I105" s="37"/>
      <x:c r="J105" s="37"/>
      <x:c r="K105" s="37"/>
      <x:c r="L105" s="37"/>
    </x:row>
    <x:row r="106">
      <x:c r="A106" s="37"/>
      <x:c r="B106" s="37"/>
      <x:c r="C106" s="37"/>
      <x:c r="D106" s="37"/>
      <x:c r="E106" s="37"/>
      <x:c r="F106" s="37"/>
      <x:c r="G106" s="37"/>
      <x:c r="H106" s="52"/>
      <x:c r="I106" s="37"/>
      <x:c r="J106" s="37"/>
      <x:c r="K106" s="37"/>
      <x:c r="L106" s="37"/>
    </x:row>
    <x:row r="107">
      <x:c r="A107" s="37"/>
      <x:c r="B107" s="37"/>
      <x:c r="C107" s="37"/>
      <x:c r="D107" s="37"/>
      <x:c r="E107" s="37"/>
      <x:c r="F107" s="37"/>
      <x:c r="G107" s="37"/>
      <x:c r="H107" s="52"/>
      <x:c r="I107" s="37"/>
      <x:c r="J107" s="37"/>
      <x:c r="K107" s="37"/>
      <x:c r="L107" s="37"/>
    </x:row>
    <x:row r="108">
      <x:c r="A108" s="37"/>
      <x:c r="B108" s="37"/>
      <x:c r="C108" s="37"/>
      <x:c r="D108" s="37"/>
      <x:c r="E108" s="37"/>
      <x:c r="F108" s="37"/>
      <x:c r="G108" s="37"/>
      <x:c r="H108" s="52"/>
      <x:c r="I108" s="37"/>
      <x:c r="J108" s="37"/>
      <x:c r="K108" s="37"/>
      <x:c r="L108" s="37"/>
    </x:row>
    <x:row r="109">
      <x:c r="A109" s="37"/>
      <x:c r="B109" s="37"/>
      <x:c r="C109" s="37"/>
      <x:c r="D109" s="37"/>
      <x:c r="E109" s="37"/>
      <x:c r="F109" s="37"/>
      <x:c r="G109" s="37"/>
      <x:c r="H109" s="52"/>
      <x:c r="I109" s="37"/>
      <x:c r="J109" s="37"/>
      <x:c r="K109" s="37"/>
      <x:c r="L109" s="37"/>
    </x:row>
    <x:row r="110">
      <x:c r="A110" s="37"/>
      <x:c r="B110" s="37"/>
      <x:c r="C110" s="37"/>
      <x:c r="D110" s="37"/>
      <x:c r="E110" s="37"/>
      <x:c r="F110" s="37"/>
      <x:c r="G110" s="37"/>
      <x:c r="H110" s="52"/>
      <x:c r="I110" s="37"/>
      <x:c r="J110" s="37"/>
      <x:c r="K110" s="37"/>
      <x:c r="L110" s="37"/>
    </x:row>
    <x:row r="111">
      <x:c r="A111" s="37"/>
      <x:c r="B111" s="37"/>
      <x:c r="C111" s="37"/>
      <x:c r="D111" s="37"/>
      <x:c r="E111" s="37"/>
      <x:c r="F111" s="37"/>
      <x:c r="G111" s="37"/>
      <x:c r="H111" s="52"/>
      <x:c r="I111" s="37"/>
      <x:c r="J111" s="37"/>
      <x:c r="K111" s="37"/>
      <x:c r="L111" s="37"/>
    </x:row>
    <x:row r="112">
      <x:c r="A112" s="37"/>
      <x:c r="B112" s="37"/>
      <x:c r="C112" s="37"/>
      <x:c r="D112" s="37"/>
      <x:c r="E112" s="37"/>
      <x:c r="F112" s="37"/>
      <x:c r="G112" s="37"/>
      <x:c r="H112" s="52"/>
      <x:c r="I112" s="37"/>
      <x:c r="J112" s="37"/>
      <x:c r="K112" s="37"/>
      <x:c r="L112" s="37"/>
    </x:row>
    <x:row r="113">
      <x:c r="A113" s="37"/>
      <x:c r="B113" s="37"/>
      <x:c r="C113" s="37"/>
      <x:c r="D113" s="37"/>
      <x:c r="E113" s="37"/>
      <x:c r="F113" s="37"/>
      <x:c r="G113" s="37"/>
      <x:c r="H113" s="52"/>
      <x:c r="I113" s="37"/>
      <x:c r="J113" s="37"/>
      <x:c r="K113" s="37"/>
      <x:c r="L113" s="37"/>
    </x:row>
    <x:row r="114">
      <x:c r="A114" s="37"/>
      <x:c r="B114" s="37"/>
      <x:c r="C114" s="37"/>
      <x:c r="D114" s="37"/>
      <x:c r="E114" s="37"/>
      <x:c r="F114" s="37"/>
      <x:c r="G114" s="37"/>
      <x:c r="H114" s="52"/>
      <x:c r="I114" s="37"/>
      <x:c r="J114" s="37"/>
      <x:c r="K114" s="37"/>
      <x:c r="L114" s="37"/>
    </x:row>
    <x:row r="115">
      <x:c r="A115" s="37"/>
      <x:c r="B115" s="37"/>
      <x:c r="C115" s="37"/>
      <x:c r="D115" s="37"/>
      <x:c r="E115" s="37"/>
      <x:c r="F115" s="37"/>
      <x:c r="G115" s="37"/>
      <x:c r="H115" s="52"/>
      <x:c r="I115" s="37"/>
      <x:c r="J115" s="37"/>
      <x:c r="K115" s="37"/>
      <x:c r="L115" s="37"/>
    </x:row>
    <x:row r="116">
      <x:c r="A116" s="37"/>
      <x:c r="B116" s="37"/>
      <x:c r="C116" s="37"/>
      <x:c r="D116" s="37"/>
      <x:c r="E116" s="37"/>
      <x:c r="F116" s="37"/>
      <x:c r="G116" s="37"/>
      <x:c r="H116" s="52"/>
      <x:c r="I116" s="37"/>
      <x:c r="J116" s="37"/>
      <x:c r="K116" s="37"/>
      <x:c r="L116" s="37"/>
    </x:row>
    <x:row r="117">
      <x:c r="A117" s="37"/>
      <x:c r="B117" s="37"/>
      <x:c r="C117" s="37"/>
      <x:c r="D117" s="37"/>
      <x:c r="E117" s="37"/>
      <x:c r="F117" s="37"/>
      <x:c r="G117" s="37"/>
      <x:c r="H117" s="52"/>
      <x:c r="I117" s="37"/>
      <x:c r="J117" s="37"/>
      <x:c r="K117" s="37"/>
      <x:c r="L117" s="37"/>
    </x:row>
    <x:row r="118">
      <x:c r="A118" s="37"/>
      <x:c r="B118" s="37"/>
      <x:c r="C118" s="37"/>
      <x:c r="D118" s="37"/>
      <x:c r="E118" s="37"/>
      <x:c r="F118" s="37"/>
      <x:c r="G118" s="37"/>
      <x:c r="H118" s="52"/>
      <x:c r="I118" s="37"/>
      <x:c r="J118" s="37"/>
      <x:c r="K118" s="37"/>
      <x:c r="L118" s="37"/>
    </x:row>
    <x:row r="119">
      <x:c r="A119" s="37"/>
      <x:c r="B119" s="37"/>
      <x:c r="C119" s="37"/>
      <x:c r="D119" s="37"/>
      <x:c r="E119" s="37"/>
      <x:c r="F119" s="37"/>
      <x:c r="G119" s="37"/>
      <x:c r="H119" s="52"/>
      <x:c r="I119" s="37"/>
      <x:c r="J119" s="37"/>
      <x:c r="K119" s="37"/>
      <x:c r="L119" s="37"/>
    </x:row>
    <x:row r="120">
      <x:c r="A120" s="37"/>
      <x:c r="B120" s="37"/>
      <x:c r="C120" s="37"/>
      <x:c r="D120" s="37"/>
      <x:c r="E120" s="37"/>
      <x:c r="F120" s="37"/>
      <x:c r="G120" s="37"/>
      <x:c r="H120" s="52"/>
      <x:c r="I120" s="37"/>
      <x:c r="J120" s="37"/>
      <x:c r="K120" s="37"/>
      <x:c r="L120" s="37"/>
    </x:row>
    <x:row r="121">
      <x:c r="A121" s="37"/>
      <x:c r="B121" s="37"/>
      <x:c r="C121" s="37"/>
      <x:c r="D121" s="37"/>
      <x:c r="E121" s="37"/>
      <x:c r="F121" s="37"/>
      <x:c r="G121" s="37"/>
      <x:c r="H121" s="52"/>
      <x:c r="I121" s="37"/>
      <x:c r="J121" s="37"/>
      <x:c r="K121" s="37"/>
      <x:c r="L121" s="37"/>
    </x:row>
    <x:row r="122">
      <x:c r="A122" s="37"/>
      <x:c r="B122" s="37"/>
      <x:c r="C122" s="37"/>
      <x:c r="D122" s="37"/>
      <x:c r="E122" s="37"/>
      <x:c r="F122" s="37"/>
      <x:c r="G122" s="37"/>
      <x:c r="H122" s="52"/>
      <x:c r="I122" s="37"/>
      <x:c r="J122" s="37"/>
      <x:c r="K122" s="37"/>
      <x:c r="L122" s="37"/>
    </x:row>
    <x:row r="123">
      <x:c r="A123" s="37"/>
      <x:c r="B123" s="37"/>
      <x:c r="C123" s="37"/>
      <x:c r="D123" s="37"/>
      <x:c r="E123" s="37"/>
      <x:c r="F123" s="37"/>
      <x:c r="G123" s="37"/>
      <x:c r="H123" s="52"/>
      <x:c r="I123" s="37"/>
      <x:c r="J123" s="37"/>
      <x:c r="K123" s="37"/>
      <x:c r="L123" s="37"/>
    </x:row>
    <x:row r="124">
      <x:c r="A124" s="37"/>
      <x:c r="B124" s="37"/>
      <x:c r="C124" s="37"/>
      <x:c r="D124" s="37"/>
      <x:c r="E124" s="37"/>
      <x:c r="F124" s="37"/>
      <x:c r="G124" s="37"/>
      <x:c r="H124" s="52"/>
      <x:c r="I124" s="37"/>
      <x:c r="J124" s="37"/>
      <x:c r="K124" s="37"/>
      <x:c r="L124" s="37"/>
    </x:row>
    <x:row r="125">
      <x:c r="A125" s="37"/>
      <x:c r="B125" s="37"/>
      <x:c r="C125" s="37"/>
      <x:c r="D125" s="37"/>
      <x:c r="E125" s="37"/>
      <x:c r="F125" s="37"/>
      <x:c r="G125" s="37"/>
      <x:c r="H125" s="52"/>
      <x:c r="I125" s="37"/>
      <x:c r="J125" s="37"/>
      <x:c r="K125" s="37"/>
      <x:c r="L125" s="37"/>
    </x:row>
    <x:row r="126">
      <x:c r="A126" s="37"/>
      <x:c r="B126" s="37"/>
      <x:c r="C126" s="37"/>
      <x:c r="D126" s="37"/>
      <x:c r="E126" s="37"/>
      <x:c r="F126" s="37"/>
      <x:c r="G126" s="37"/>
      <x:c r="H126" s="52"/>
      <x:c r="I126" s="37"/>
      <x:c r="J126" s="37"/>
      <x:c r="K126" s="37"/>
      <x:c r="L126" s="37"/>
    </x:row>
    <x:row r="127">
      <x:c r="A127" s="37"/>
      <x:c r="B127" s="37"/>
      <x:c r="C127" s="37"/>
      <x:c r="D127" s="37"/>
      <x:c r="E127" s="37"/>
      <x:c r="F127" s="37"/>
      <x:c r="G127" s="37"/>
      <x:c r="H127" s="52"/>
      <x:c r="I127" s="37"/>
      <x:c r="J127" s="37"/>
      <x:c r="K127" s="37"/>
      <x:c r="L127" s="37"/>
    </x:row>
    <x:row r="128">
      <x:c r="A128" s="37"/>
      <x:c r="B128" s="37"/>
      <x:c r="C128" s="37"/>
      <x:c r="D128" s="37"/>
      <x:c r="E128" s="37"/>
      <x:c r="F128" s="37"/>
      <x:c r="G128" s="37"/>
      <x:c r="H128" s="52"/>
      <x:c r="I128" s="37"/>
      <x:c r="J128" s="37"/>
      <x:c r="K128" s="37"/>
      <x:c r="L128" s="37"/>
    </x:row>
    <x:row r="129">
      <x:c r="A129" s="37"/>
      <x:c r="B129" s="37"/>
      <x:c r="C129" s="37"/>
      <x:c r="D129" s="37"/>
      <x:c r="E129" s="37"/>
      <x:c r="F129" s="37"/>
      <x:c r="G129" s="37"/>
      <x:c r="H129" s="52"/>
      <x:c r="I129" s="37"/>
      <x:c r="J129" s="37"/>
      <x:c r="K129" s="37"/>
      <x:c r="L129" s="37"/>
    </x:row>
    <x:row r="130">
      <x:c r="A130" s="37"/>
      <x:c r="B130" s="37"/>
      <x:c r="C130" s="37"/>
      <x:c r="D130" s="37"/>
      <x:c r="E130" s="37"/>
      <x:c r="F130" s="37"/>
      <x:c r="G130" s="37"/>
      <x:c r="H130" s="52"/>
      <x:c r="I130" s="37"/>
      <x:c r="J130" s="37"/>
      <x:c r="K130" s="37"/>
      <x:c r="L130" s="37"/>
    </x:row>
    <x:row r="131">
      <x:c r="A131" s="37"/>
      <x:c r="B131" s="37"/>
      <x:c r="C131" s="37"/>
      <x:c r="D131" s="37"/>
      <x:c r="E131" s="37"/>
      <x:c r="F131" s="37"/>
      <x:c r="G131" s="37"/>
      <x:c r="H131" s="52"/>
      <x:c r="I131" s="37"/>
      <x:c r="J131" s="37"/>
      <x:c r="K131" s="37"/>
      <x:c r="L131" s="37"/>
    </x:row>
    <x:row r="132">
      <x:c r="A132" s="37"/>
      <x:c r="B132" s="37"/>
      <x:c r="C132" s="37"/>
      <x:c r="D132" s="37"/>
      <x:c r="E132" s="37"/>
      <x:c r="F132" s="37"/>
      <x:c r="G132" s="37"/>
      <x:c r="H132" s="52"/>
      <x:c r="I132" s="37"/>
      <x:c r="J132" s="37"/>
      <x:c r="K132" s="37"/>
      <x:c r="L132" s="37"/>
    </x:row>
    <x:row r="133">
      <x:c r="A133" s="37"/>
      <x:c r="B133" s="37"/>
      <x:c r="C133" s="37"/>
      <x:c r="D133" s="37"/>
      <x:c r="E133" s="37"/>
      <x:c r="F133" s="37"/>
      <x:c r="G133" s="37"/>
      <x:c r="H133" s="52"/>
      <x:c r="I133" s="37"/>
      <x:c r="J133" s="37"/>
      <x:c r="K133" s="37"/>
      <x:c r="L133" s="37"/>
    </x:row>
    <x:row r="134">
      <x:c r="A134" s="37"/>
      <x:c r="B134" s="37"/>
      <x:c r="C134" s="37"/>
      <x:c r="D134" s="37"/>
      <x:c r="E134" s="37"/>
      <x:c r="F134" s="37"/>
      <x:c r="G134" s="37"/>
      <x:c r="H134" s="52"/>
      <x:c r="I134" s="37"/>
      <x:c r="J134" s="37"/>
      <x:c r="K134" s="37"/>
      <x:c r="L134" s="37"/>
    </x:row>
    <x:row r="135">
      <x:c r="A135" s="37"/>
      <x:c r="B135" s="37"/>
      <x:c r="C135" s="37"/>
      <x:c r="D135" s="37"/>
      <x:c r="E135" s="37"/>
      <x:c r="F135" s="37"/>
      <x:c r="G135" s="37"/>
      <x:c r="H135" s="52"/>
      <x:c r="I135" s="37"/>
      <x:c r="J135" s="37"/>
      <x:c r="K135" s="37"/>
      <x:c r="L135" s="37"/>
    </x:row>
    <x:row r="136">
      <x:c r="A136" s="37"/>
      <x:c r="B136" s="37"/>
      <x:c r="C136" s="37"/>
      <x:c r="D136" s="37"/>
      <x:c r="E136" s="37"/>
      <x:c r="F136" s="37"/>
      <x:c r="G136" s="37"/>
      <x:c r="H136" s="52"/>
      <x:c r="I136" s="37"/>
      <x:c r="J136" s="37"/>
      <x:c r="K136" s="37"/>
      <x:c r="L136" s="37"/>
    </x:row>
    <x:row r="137">
      <x:c r="A137" s="37"/>
      <x:c r="B137" s="37"/>
      <x:c r="C137" s="37"/>
      <x:c r="D137" s="37"/>
      <x:c r="E137" s="37"/>
      <x:c r="F137" s="37"/>
      <x:c r="G137" s="37"/>
      <x:c r="H137" s="52"/>
      <x:c r="I137" s="37"/>
      <x:c r="J137" s="37"/>
      <x:c r="K137" s="37"/>
      <x:c r="L137" s="37"/>
    </x:row>
    <x:row r="138">
      <x:c r="A138" s="37"/>
      <x:c r="B138" s="37"/>
      <x:c r="C138" s="37"/>
      <x:c r="D138" s="37"/>
      <x:c r="E138" s="37"/>
      <x:c r="F138" s="37"/>
      <x:c r="G138" s="37"/>
      <x:c r="H138" s="52"/>
      <x:c r="I138" s="37"/>
      <x:c r="J138" s="37"/>
      <x:c r="K138" s="37"/>
      <x:c r="L138" s="37"/>
    </x:row>
    <x:row r="139">
      <x:c r="A139" s="37"/>
      <x:c r="B139" s="37"/>
      <x:c r="C139" s="37"/>
      <x:c r="D139" s="37"/>
      <x:c r="E139" s="37"/>
      <x:c r="F139" s="37"/>
      <x:c r="G139" s="37"/>
      <x:c r="H139" s="52"/>
      <x:c r="I139" s="37"/>
      <x:c r="J139" s="37"/>
      <x:c r="K139" s="37"/>
      <x:c r="L139" s="37"/>
    </x:row>
    <x:row r="140">
      <x:c r="A140" s="37"/>
      <x:c r="B140" s="37"/>
      <x:c r="C140" s="37"/>
      <x:c r="D140" s="37"/>
      <x:c r="E140" s="37"/>
      <x:c r="F140" s="37"/>
      <x:c r="G140" s="37"/>
      <x:c r="H140" s="52"/>
      <x:c r="I140" s="37"/>
      <x:c r="J140" s="37"/>
      <x:c r="K140" s="37"/>
      <x:c r="L140" s="37"/>
    </x:row>
    <x:row r="141">
      <x:c r="A141" s="37"/>
      <x:c r="B141" s="37"/>
      <x:c r="C141" s="37"/>
      <x:c r="D141" s="37"/>
      <x:c r="E141" s="37"/>
      <x:c r="F141" s="37"/>
      <x:c r="G141" s="37"/>
      <x:c r="H141" s="52"/>
      <x:c r="I141" s="37"/>
      <x:c r="J141" s="37"/>
      <x:c r="K141" s="37"/>
      <x:c r="L141" s="37"/>
    </x:row>
    <x:row r="142">
      <x:c r="A142" s="37"/>
      <x:c r="B142" s="37"/>
      <x:c r="C142" s="37"/>
      <x:c r="D142" s="37"/>
      <x:c r="E142" s="37"/>
      <x:c r="F142" s="37"/>
      <x:c r="G142" s="37"/>
      <x:c r="H142" s="52"/>
      <x:c r="I142" s="37"/>
      <x:c r="J142" s="37"/>
      <x:c r="K142" s="37"/>
      <x:c r="L142" s="37"/>
    </x:row>
    <x:row r="143">
      <x:c r="A143" s="37"/>
      <x:c r="B143" s="37"/>
      <x:c r="C143" s="37"/>
      <x:c r="D143" s="37"/>
      <x:c r="E143" s="37"/>
      <x:c r="F143" s="37"/>
      <x:c r="G143" s="37"/>
      <x:c r="H143" s="52"/>
      <x:c r="I143" s="37"/>
      <x:c r="J143" s="37"/>
      <x:c r="K143" s="37"/>
      <x:c r="L143" s="37"/>
    </x:row>
    <x:row r="144">
      <x:c r="A144" s="37"/>
      <x:c r="B144" s="37"/>
      <x:c r="C144" s="37"/>
      <x:c r="D144" s="37"/>
      <x:c r="E144" s="37"/>
      <x:c r="F144" s="37"/>
      <x:c r="G144" s="37"/>
      <x:c r="H144" s="52"/>
      <x:c r="I144" s="37"/>
      <x:c r="J144" s="37"/>
      <x:c r="K144" s="37"/>
      <x:c r="L144" s="37"/>
    </x:row>
    <x:row r="145">
      <x:c r="A145" s="37"/>
      <x:c r="B145" s="37"/>
      <x:c r="C145" s="37"/>
      <x:c r="D145" s="37"/>
      <x:c r="E145" s="37"/>
      <x:c r="F145" s="37"/>
      <x:c r="G145" s="37"/>
      <x:c r="H145" s="52"/>
      <x:c r="I145" s="37"/>
      <x:c r="J145" s="37"/>
      <x:c r="K145" s="37"/>
      <x:c r="L145" s="37"/>
    </x:row>
    <x:row r="146">
      <x:c r="A146" s="37"/>
      <x:c r="B146" s="37"/>
      <x:c r="C146" s="37"/>
      <x:c r="D146" s="37"/>
      <x:c r="E146" s="37"/>
      <x:c r="F146" s="37"/>
      <x:c r="G146" s="37"/>
      <x:c r="H146" s="52"/>
      <x:c r="I146" s="37"/>
      <x:c r="J146" s="37"/>
      <x:c r="K146" s="37"/>
      <x:c r="L146" s="37"/>
    </x:row>
    <x:row r="147">
      <x:c r="A147" s="37"/>
      <x:c r="B147" s="37"/>
      <x:c r="C147" s="37"/>
      <x:c r="D147" s="37"/>
      <x:c r="E147" s="37"/>
      <x:c r="F147" s="37"/>
      <x:c r="G147" s="37"/>
      <x:c r="H147" s="52"/>
      <x:c r="I147" s="37"/>
      <x:c r="J147" s="37"/>
      <x:c r="K147" s="37"/>
      <x:c r="L147" s="37"/>
    </x:row>
    <x:row r="148">
      <x:c r="A148" s="37"/>
      <x:c r="B148" s="37"/>
      <x:c r="C148" s="37"/>
      <x:c r="D148" s="37"/>
      <x:c r="E148" s="37"/>
      <x:c r="F148" s="37"/>
      <x:c r="G148" s="37"/>
      <x:c r="H148" s="52"/>
      <x:c r="I148" s="37"/>
      <x:c r="J148" s="37"/>
      <x:c r="K148" s="37"/>
      <x:c r="L148" s="37"/>
    </x:row>
    <x:row r="149">
      <x:c r="A149" s="37"/>
      <x:c r="B149" s="37"/>
      <x:c r="C149" s="37"/>
      <x:c r="D149" s="37"/>
      <x:c r="E149" s="37"/>
      <x:c r="F149" s="37"/>
      <x:c r="G149" s="37"/>
      <x:c r="H149" s="52"/>
      <x:c r="I149" s="37"/>
      <x:c r="J149" s="37"/>
      <x:c r="K149" s="37"/>
      <x:c r="L149" s="37"/>
    </x:row>
    <x:row r="150">
      <x:c r="A150" s="37"/>
      <x:c r="B150" s="37"/>
      <x:c r="C150" s="37"/>
      <x:c r="D150" s="37"/>
      <x:c r="E150" s="37"/>
      <x:c r="F150" s="37"/>
      <x:c r="G150" s="37"/>
      <x:c r="H150" s="52"/>
      <x:c r="I150" s="37"/>
      <x:c r="J150" s="37"/>
      <x:c r="K150" s="37"/>
      <x:c r="L150" s="37"/>
    </x:row>
    <x:row r="151">
      <x:c r="A151" s="37"/>
      <x:c r="B151" s="37"/>
      <x:c r="C151" s="37"/>
      <x:c r="D151" s="37"/>
      <x:c r="E151" s="37"/>
      <x:c r="F151" s="37"/>
      <x:c r="G151" s="37"/>
      <x:c r="H151" s="52"/>
      <x:c r="I151" s="37"/>
      <x:c r="J151" s="37"/>
      <x:c r="K151" s="37"/>
      <x:c r="L151" s="37"/>
    </x:row>
    <x:row r="152">
      <x:c r="A152" s="37"/>
      <x:c r="B152" s="37"/>
      <x:c r="C152" s="37"/>
      <x:c r="D152" s="37"/>
      <x:c r="E152" s="37"/>
      <x:c r="F152" s="37"/>
      <x:c r="G152" s="37"/>
      <x:c r="H152" s="52"/>
      <x:c r="I152" s="37"/>
      <x:c r="J152" s="37"/>
      <x:c r="K152" s="37"/>
      <x:c r="L152" s="37"/>
    </x:row>
    <x:row r="153">
      <x:c r="A153" s="37"/>
      <x:c r="B153" s="37"/>
      <x:c r="C153" s="37"/>
      <x:c r="D153" s="37"/>
      <x:c r="E153" s="37"/>
      <x:c r="F153" s="37"/>
      <x:c r="G153" s="37"/>
      <x:c r="H153" s="52"/>
      <x:c r="I153" s="37"/>
      <x:c r="J153" s="37"/>
      <x:c r="K153" s="37"/>
      <x:c r="L153" s="37"/>
    </x:row>
    <x:row r="154">
      <x:c r="A154" s="37"/>
      <x:c r="B154" s="37"/>
      <x:c r="C154" s="37"/>
      <x:c r="D154" s="37"/>
      <x:c r="E154" s="37"/>
      <x:c r="F154" s="37"/>
      <x:c r="G154" s="37"/>
      <x:c r="H154" s="52"/>
      <x:c r="I154" s="37"/>
      <x:c r="J154" s="37"/>
      <x:c r="K154" s="37"/>
      <x:c r="L154" s="37"/>
    </x:row>
    <x:row r="155">
      <x:c r="A155" s="37"/>
      <x:c r="B155" s="37"/>
      <x:c r="C155" s="37"/>
      <x:c r="D155" s="37"/>
      <x:c r="E155" s="37"/>
      <x:c r="F155" s="37"/>
      <x:c r="G155" s="37"/>
      <x:c r="H155" s="52"/>
      <x:c r="I155" s="37"/>
      <x:c r="J155" s="37"/>
      <x:c r="K155" s="37"/>
      <x:c r="L155" s="37"/>
    </x:row>
    <x:row r="156">
      <x:c r="A156" s="37"/>
      <x:c r="B156" s="37"/>
      <x:c r="C156" s="37"/>
      <x:c r="D156" s="37"/>
      <x:c r="E156" s="37"/>
      <x:c r="F156" s="37"/>
      <x:c r="G156" s="37"/>
      <x:c r="H156" s="52"/>
      <x:c r="I156" s="37"/>
      <x:c r="J156" s="37"/>
      <x:c r="K156" s="37"/>
      <x:c r="L156" s="37"/>
    </x:row>
    <x:row r="157">
      <x:c r="A157" s="37"/>
      <x:c r="B157" s="37"/>
      <x:c r="C157" s="37"/>
      <x:c r="D157" s="37"/>
      <x:c r="E157" s="37"/>
      <x:c r="F157" s="37"/>
      <x:c r="G157" s="37"/>
      <x:c r="H157" s="52"/>
      <x:c r="I157" s="37"/>
      <x:c r="J157" s="37"/>
      <x:c r="K157" s="37"/>
      <x:c r="L157" s="37"/>
    </x:row>
    <x:row r="158">
      <x:c r="A158" s="37"/>
      <x:c r="B158" s="37"/>
      <x:c r="C158" s="37"/>
      <x:c r="D158" s="37"/>
      <x:c r="E158" s="37"/>
      <x:c r="F158" s="37"/>
      <x:c r="G158" s="37"/>
      <x:c r="H158" s="52"/>
      <x:c r="I158" s="37"/>
      <x:c r="J158" s="37"/>
      <x:c r="K158" s="37"/>
      <x:c r="L158" s="37"/>
    </x:row>
    <x:row r="159">
      <x:c r="A159" s="37"/>
      <x:c r="B159" s="37"/>
      <x:c r="C159" s="37"/>
      <x:c r="D159" s="37"/>
      <x:c r="E159" s="37"/>
      <x:c r="F159" s="37"/>
      <x:c r="G159" s="37"/>
      <x:c r="H159" s="52"/>
      <x:c r="I159" s="37"/>
      <x:c r="J159" s="37"/>
      <x:c r="K159" s="37"/>
      <x:c r="L159" s="37"/>
    </x:row>
    <x:row r="160">
      <x:c r="A160" s="37"/>
      <x:c r="B160" s="37"/>
      <x:c r="C160" s="37"/>
      <x:c r="D160" s="37"/>
      <x:c r="E160" s="37"/>
      <x:c r="F160" s="37"/>
      <x:c r="G160" s="37"/>
      <x:c r="H160" s="52"/>
      <x:c r="I160" s="37"/>
      <x:c r="J160" s="37"/>
      <x:c r="K160" s="37"/>
      <x:c r="L160" s="37"/>
    </x:row>
    <x:row r="161">
      <x:c r="A161" s="37"/>
      <x:c r="B161" s="37"/>
      <x:c r="C161" s="37"/>
      <x:c r="D161" s="37"/>
      <x:c r="E161" s="37"/>
      <x:c r="F161" s="37"/>
      <x:c r="G161" s="37"/>
      <x:c r="H161" s="52"/>
      <x:c r="I161" s="37"/>
      <x:c r="J161" s="37"/>
      <x:c r="K161" s="37"/>
      <x:c r="L161" s="37"/>
    </x:row>
    <x:row r="162">
      <x:c r="A162" s="37"/>
      <x:c r="B162" s="37"/>
      <x:c r="C162" s="37"/>
      <x:c r="D162" s="37"/>
      <x:c r="E162" s="37"/>
      <x:c r="F162" s="37"/>
      <x:c r="G162" s="37"/>
      <x:c r="H162" s="52"/>
      <x:c r="I162" s="37"/>
      <x:c r="J162" s="37"/>
      <x:c r="K162" s="37"/>
      <x:c r="L162" s="37"/>
    </x:row>
    <x:row r="163">
      <x:c r="A163" s="37"/>
      <x:c r="B163" s="37"/>
      <x:c r="C163" s="37"/>
      <x:c r="D163" s="37"/>
      <x:c r="E163" s="37"/>
      <x:c r="F163" s="37"/>
      <x:c r="G163" s="37"/>
      <x:c r="H163" s="52"/>
      <x:c r="I163" s="37"/>
      <x:c r="J163" s="37"/>
      <x:c r="K163" s="37"/>
      <x:c r="L163" s="37"/>
    </x:row>
    <x:row r="164">
      <x:c r="A164" s="37"/>
      <x:c r="B164" s="37"/>
      <x:c r="C164" s="37"/>
      <x:c r="D164" s="37"/>
      <x:c r="E164" s="37"/>
      <x:c r="F164" s="37"/>
      <x:c r="G164" s="37"/>
      <x:c r="H164" s="52"/>
      <x:c r="I164" s="37"/>
      <x:c r="J164" s="37"/>
      <x:c r="K164" s="37"/>
      <x:c r="L164" s="37"/>
    </x:row>
    <x:row r="165">
      <x:c r="A165" s="37"/>
      <x:c r="B165" s="37"/>
      <x:c r="C165" s="37"/>
      <x:c r="D165" s="37"/>
      <x:c r="E165" s="37"/>
      <x:c r="F165" s="37"/>
      <x:c r="G165" s="37"/>
      <x:c r="H165" s="52"/>
      <x:c r="I165" s="37"/>
      <x:c r="J165" s="37"/>
      <x:c r="K165" s="37"/>
      <x:c r="L165" s="37"/>
    </x:row>
    <x:row r="166">
      <x:c r="A166" s="37"/>
      <x:c r="B166" s="37"/>
      <x:c r="C166" s="37"/>
      <x:c r="D166" s="37"/>
      <x:c r="E166" s="37"/>
      <x:c r="F166" s="37"/>
      <x:c r="G166" s="37"/>
      <x:c r="H166" s="52"/>
      <x:c r="I166" s="37"/>
      <x:c r="J166" s="37"/>
      <x:c r="K166" s="37"/>
      <x:c r="L166" s="37"/>
    </x:row>
    <x:row r="167">
      <x:c r="A167" s="37"/>
      <x:c r="B167" s="37"/>
      <x:c r="C167" s="37"/>
      <x:c r="D167" s="37"/>
      <x:c r="E167" s="37"/>
      <x:c r="F167" s="37"/>
      <x:c r="G167" s="37"/>
      <x:c r="H167" s="52"/>
      <x:c r="I167" s="37"/>
      <x:c r="J167" s="37"/>
      <x:c r="K167" s="37"/>
      <x:c r="L167" s="37"/>
    </x:row>
    <x:row r="168">
      <x:c r="A168" s="37"/>
      <x:c r="B168" s="37"/>
      <x:c r="C168" s="37"/>
      <x:c r="D168" s="37"/>
      <x:c r="E168" s="37"/>
      <x:c r="F168" s="37"/>
      <x:c r="G168" s="37"/>
      <x:c r="H168" s="52"/>
      <x:c r="I168" s="37"/>
      <x:c r="J168" s="37"/>
      <x:c r="K168" s="37"/>
      <x:c r="L168" s="37"/>
    </x:row>
    <x:row r="169">
      <x:c r="A169" s="37"/>
      <x:c r="B169" s="37"/>
      <x:c r="C169" s="37"/>
      <x:c r="D169" s="37"/>
      <x:c r="E169" s="37"/>
      <x:c r="F169" s="37"/>
      <x:c r="G169" s="37"/>
      <x:c r="H169" s="52"/>
      <x:c r="I169" s="37"/>
      <x:c r="J169" s="37"/>
      <x:c r="K169" s="37"/>
      <x:c r="L169" s="37"/>
    </x:row>
    <x:row r="170">
      <x:c r="A170" s="37"/>
      <x:c r="B170" s="37"/>
      <x:c r="C170" s="37"/>
      <x:c r="D170" s="37"/>
      <x:c r="E170" s="37"/>
      <x:c r="F170" s="37"/>
      <x:c r="G170" s="37"/>
      <x:c r="H170" s="52"/>
      <x:c r="I170" s="37"/>
      <x:c r="J170" s="37"/>
      <x:c r="K170" s="37"/>
      <x:c r="L170" s="37"/>
    </x:row>
    <x:row r="171">
      <x:c r="A171" s="37"/>
      <x:c r="B171" s="37"/>
      <x:c r="C171" s="37"/>
      <x:c r="D171" s="37"/>
      <x:c r="E171" s="37"/>
      <x:c r="F171" s="37"/>
      <x:c r="G171" s="37"/>
      <x:c r="H171" s="52"/>
      <x:c r="I171" s="37"/>
      <x:c r="J171" s="37"/>
      <x:c r="K171" s="37"/>
      <x:c r="L171" s="37"/>
    </x:row>
    <x:row r="172">
      <x:c r="A172" s="37"/>
      <x:c r="B172" s="37"/>
      <x:c r="C172" s="37"/>
      <x:c r="D172" s="37"/>
      <x:c r="E172" s="37"/>
      <x:c r="F172" s="37"/>
      <x:c r="G172" s="37"/>
      <x:c r="H172" s="52"/>
      <x:c r="I172" s="37"/>
      <x:c r="J172" s="37"/>
      <x:c r="K172" s="37"/>
      <x:c r="L172" s="37"/>
    </x:row>
    <x:row r="173">
      <x:c r="A173" s="37"/>
      <x:c r="B173" s="37"/>
      <x:c r="C173" s="37"/>
      <x:c r="D173" s="37"/>
      <x:c r="E173" s="37"/>
      <x:c r="F173" s="37"/>
      <x:c r="G173" s="37"/>
      <x:c r="H173" s="52"/>
      <x:c r="I173" s="37"/>
      <x:c r="J173" s="37"/>
      <x:c r="K173" s="37"/>
      <x:c r="L173" s="37"/>
    </x:row>
    <x:row r="174">
      <x:c r="A174" s="37"/>
      <x:c r="B174" s="37"/>
      <x:c r="C174" s="37"/>
      <x:c r="D174" s="37"/>
      <x:c r="E174" s="37"/>
      <x:c r="F174" s="37"/>
      <x:c r="G174" s="37"/>
      <x:c r="H174" s="52"/>
      <x:c r="I174" s="37"/>
      <x:c r="J174" s="37"/>
      <x:c r="K174" s="37"/>
      <x:c r="L174" s="37"/>
    </x:row>
    <x:row r="175">
      <x:c r="A175" s="37"/>
      <x:c r="B175" s="37"/>
      <x:c r="C175" s="37"/>
      <x:c r="D175" s="37"/>
      <x:c r="E175" s="37"/>
      <x:c r="F175" s="37"/>
      <x:c r="G175" s="37"/>
      <x:c r="H175" s="52"/>
      <x:c r="I175" s="37"/>
      <x:c r="J175" s="37"/>
      <x:c r="K175" s="37"/>
      <x:c r="L175" s="37"/>
    </x:row>
    <x:row r="176">
      <x:c r="A176" s="37"/>
      <x:c r="B176" s="37"/>
      <x:c r="C176" s="37"/>
      <x:c r="D176" s="37"/>
      <x:c r="E176" s="37"/>
      <x:c r="F176" s="37"/>
      <x:c r="G176" s="37"/>
      <x:c r="H176" s="52"/>
      <x:c r="I176" s="37"/>
      <x:c r="J176" s="37"/>
      <x:c r="K176" s="37"/>
      <x:c r="L176" s="37"/>
    </x:row>
    <x:row r="177">
      <x:c r="A177" s="37"/>
      <x:c r="B177" s="37"/>
      <x:c r="C177" s="37"/>
      <x:c r="D177" s="37"/>
      <x:c r="E177" s="37"/>
      <x:c r="F177" s="37"/>
      <x:c r="G177" s="37"/>
      <x:c r="H177" s="52"/>
      <x:c r="I177" s="37"/>
      <x:c r="J177" s="37"/>
      <x:c r="K177" s="37"/>
      <x:c r="L177" s="37"/>
    </x:row>
    <x:row r="178">
      <x:c r="A178" s="37"/>
      <x:c r="B178" s="37"/>
      <x:c r="C178" s="37"/>
      <x:c r="D178" s="37"/>
      <x:c r="E178" s="37"/>
      <x:c r="F178" s="37"/>
      <x:c r="G178" s="37"/>
      <x:c r="H178" s="52"/>
      <x:c r="I178" s="37"/>
      <x:c r="J178" s="37"/>
      <x:c r="K178" s="37"/>
      <x:c r="L178" s="37"/>
    </x:row>
    <x:row r="179">
      <x:c r="A179" s="37"/>
      <x:c r="B179" s="37"/>
      <x:c r="C179" s="37"/>
      <x:c r="D179" s="37"/>
      <x:c r="E179" s="37"/>
      <x:c r="F179" s="37"/>
      <x:c r="G179" s="37"/>
      <x:c r="H179" s="52"/>
      <x:c r="I179" s="37"/>
      <x:c r="J179" s="37"/>
      <x:c r="K179" s="37"/>
      <x:c r="L179" s="37"/>
    </x:row>
    <x:row r="180">
      <x:c r="A180" s="37"/>
      <x:c r="B180" s="37"/>
      <x:c r="C180" s="37"/>
      <x:c r="D180" s="37"/>
      <x:c r="E180" s="37"/>
      <x:c r="F180" s="37"/>
      <x:c r="G180" s="37"/>
      <x:c r="H180" s="52"/>
      <x:c r="I180" s="37"/>
      <x:c r="J180" s="37"/>
      <x:c r="K180" s="37"/>
      <x:c r="L180" s="37"/>
    </x:row>
    <x:row r="181">
      <x:c r="A181" s="37"/>
      <x:c r="B181" s="37"/>
      <x:c r="C181" s="37"/>
      <x:c r="D181" s="37"/>
      <x:c r="E181" s="37"/>
      <x:c r="F181" s="37"/>
      <x:c r="G181" s="37"/>
      <x:c r="H181" s="52"/>
      <x:c r="I181" s="37"/>
      <x:c r="J181" s="37"/>
      <x:c r="K181" s="37"/>
      <x:c r="L181" s="37"/>
    </x:row>
    <x:row r="182">
      <x:c r="A182" s="37"/>
      <x:c r="B182" s="37"/>
      <x:c r="C182" s="37"/>
      <x:c r="D182" s="37"/>
      <x:c r="E182" s="37"/>
      <x:c r="F182" s="37"/>
      <x:c r="G182" s="37"/>
      <x:c r="H182" s="52"/>
      <x:c r="I182" s="37"/>
      <x:c r="J182" s="37"/>
      <x:c r="K182" s="37"/>
      <x:c r="L182" s="37"/>
    </x:row>
    <x:row r="183">
      <x:c r="A183" s="37"/>
      <x:c r="B183" s="37"/>
      <x:c r="C183" s="37"/>
      <x:c r="D183" s="37"/>
      <x:c r="E183" s="37"/>
      <x:c r="F183" s="37"/>
      <x:c r="G183" s="37"/>
      <x:c r="H183" s="52"/>
      <x:c r="I183" s="37"/>
      <x:c r="J183" s="37"/>
      <x:c r="K183" s="37"/>
      <x:c r="L183" s="37"/>
    </x:row>
    <x:row r="184">
      <x:c r="A184" s="37"/>
      <x:c r="B184" s="37"/>
      <x:c r="C184" s="37"/>
      <x:c r="D184" s="37"/>
      <x:c r="E184" s="37"/>
      <x:c r="F184" s="37"/>
      <x:c r="G184" s="37"/>
      <x:c r="H184" s="52"/>
      <x:c r="I184" s="37"/>
      <x:c r="J184" s="37"/>
      <x:c r="K184" s="37"/>
      <x:c r="L184" s="37"/>
    </x:row>
    <x:row r="185">
      <x:c r="A185" s="37"/>
      <x:c r="B185" s="37"/>
      <x:c r="C185" s="37"/>
      <x:c r="D185" s="37"/>
      <x:c r="E185" s="37"/>
      <x:c r="F185" s="37"/>
      <x:c r="G185" s="37"/>
      <x:c r="H185" s="52"/>
      <x:c r="I185" s="37"/>
      <x:c r="J185" s="37"/>
      <x:c r="K185" s="37"/>
      <x:c r="L185" s="37"/>
    </x:row>
    <x:row r="186">
      <x:c r="A186" s="37"/>
      <x:c r="B186" s="37"/>
      <x:c r="C186" s="37"/>
      <x:c r="D186" s="37"/>
      <x:c r="E186" s="37"/>
      <x:c r="F186" s="37"/>
      <x:c r="G186" s="37"/>
      <x:c r="H186" s="52"/>
      <x:c r="I186" s="37"/>
      <x:c r="J186" s="37"/>
      <x:c r="K186" s="37"/>
      <x:c r="L186" s="37"/>
    </x:row>
    <x:row r="187">
      <x:c r="A187" s="37"/>
      <x:c r="B187" s="37"/>
      <x:c r="C187" s="37"/>
      <x:c r="D187" s="37"/>
      <x:c r="E187" s="37"/>
      <x:c r="F187" s="37"/>
      <x:c r="G187" s="37"/>
      <x:c r="H187" s="52"/>
      <x:c r="I187" s="37"/>
      <x:c r="J187" s="37"/>
      <x:c r="K187" s="37"/>
      <x:c r="L187" s="37"/>
    </x:row>
    <x:row r="188">
      <x:c r="A188" s="37"/>
      <x:c r="B188" s="37"/>
      <x:c r="C188" s="37"/>
      <x:c r="D188" s="37"/>
      <x:c r="E188" s="37"/>
      <x:c r="F188" s="37"/>
      <x:c r="G188" s="37"/>
      <x:c r="H188" s="52"/>
      <x:c r="I188" s="37"/>
      <x:c r="J188" s="37"/>
      <x:c r="K188" s="37"/>
      <x:c r="L188" s="37"/>
    </x:row>
    <x:row r="189">
      <x:c r="A189" s="37"/>
      <x:c r="B189" s="37"/>
      <x:c r="C189" s="37"/>
      <x:c r="D189" s="37"/>
      <x:c r="E189" s="37"/>
      <x:c r="F189" s="37"/>
      <x:c r="G189" s="37"/>
      <x:c r="H189" s="52"/>
      <x:c r="I189" s="37"/>
      <x:c r="J189" s="37"/>
      <x:c r="K189" s="37"/>
      <x:c r="L189" s="37"/>
    </x:row>
    <x:row r="190">
      <x:c r="A190" s="37"/>
      <x:c r="B190" s="37"/>
      <x:c r="C190" s="37"/>
      <x:c r="D190" s="37"/>
      <x:c r="E190" s="37"/>
      <x:c r="F190" s="37"/>
      <x:c r="G190" s="37"/>
      <x:c r="H190" s="52"/>
      <x:c r="I190" s="37"/>
      <x:c r="J190" s="37"/>
      <x:c r="K190" s="37"/>
      <x:c r="L190" s="37"/>
    </x:row>
    <x:row r="191">
      <x:c r="A191" s="37"/>
      <x:c r="B191" s="37"/>
      <x:c r="C191" s="37"/>
      <x:c r="D191" s="37"/>
      <x:c r="E191" s="37"/>
      <x:c r="F191" s="37"/>
      <x:c r="G191" s="37"/>
      <x:c r="H191" s="52"/>
      <x:c r="I191" s="37"/>
      <x:c r="J191" s="37"/>
      <x:c r="K191" s="37"/>
      <x:c r="L191" s="37"/>
    </x:row>
    <x:row r="192">
      <x:c r="A192" s="37"/>
      <x:c r="B192" s="37"/>
      <x:c r="C192" s="37"/>
      <x:c r="D192" s="37"/>
      <x:c r="E192" s="37"/>
      <x:c r="F192" s="37"/>
      <x:c r="G192" s="37"/>
      <x:c r="H192" s="52"/>
      <x:c r="I192" s="37"/>
      <x:c r="J192" s="37"/>
      <x:c r="K192" s="37"/>
      <x:c r="L192" s="37"/>
    </x:row>
    <x:row r="193">
      <x:c r="A193" s="37"/>
      <x:c r="B193" s="37"/>
      <x:c r="C193" s="37"/>
      <x:c r="D193" s="37"/>
      <x:c r="E193" s="37"/>
      <x:c r="F193" s="37"/>
      <x:c r="G193" s="37"/>
      <x:c r="H193" s="52"/>
      <x:c r="I193" s="37"/>
      <x:c r="J193" s="37"/>
      <x:c r="K193" s="37"/>
      <x:c r="L193" s="37"/>
    </x:row>
    <x:row r="194">
      <x:c r="A194" s="37"/>
      <x:c r="B194" s="37"/>
      <x:c r="C194" s="37"/>
      <x:c r="D194" s="37"/>
      <x:c r="E194" s="37"/>
      <x:c r="F194" s="37"/>
      <x:c r="G194" s="37"/>
      <x:c r="H194" s="52"/>
      <x:c r="I194" s="37"/>
      <x:c r="J194" s="37"/>
      <x:c r="K194" s="37"/>
      <x:c r="L194" s="37"/>
    </x:row>
    <x:row r="195">
      <x:c r="A195" s="37"/>
      <x:c r="B195" s="37"/>
      <x:c r="C195" s="37"/>
      <x:c r="D195" s="37"/>
      <x:c r="E195" s="37"/>
      <x:c r="F195" s="37"/>
      <x:c r="G195" s="37"/>
      <x:c r="H195" s="52"/>
      <x:c r="I195" s="37"/>
      <x:c r="J195" s="37"/>
      <x:c r="K195" s="37"/>
      <x:c r="L195" s="37"/>
    </x:row>
    <x:row r="196">
      <x:c r="A196" s="37"/>
      <x:c r="B196" s="37"/>
      <x:c r="C196" s="37"/>
      <x:c r="D196" s="37"/>
      <x:c r="E196" s="37"/>
      <x:c r="F196" s="37"/>
      <x:c r="G196" s="37"/>
      <x:c r="H196" s="52"/>
      <x:c r="I196" s="37"/>
      <x:c r="J196" s="37"/>
      <x:c r="K196" s="37"/>
      <x:c r="L196" s="37"/>
    </x:row>
    <x:row r="197">
      <x:c r="A197" s="37"/>
      <x:c r="B197" s="37"/>
      <x:c r="C197" s="37"/>
      <x:c r="D197" s="37"/>
      <x:c r="E197" s="37"/>
      <x:c r="F197" s="37"/>
      <x:c r="G197" s="37"/>
      <x:c r="H197" s="52"/>
      <x:c r="I197" s="37"/>
      <x:c r="J197" s="37"/>
      <x:c r="K197" s="37"/>
      <x:c r="L197" s="37"/>
    </x:row>
    <x:row r="198">
      <x:c r="A198" s="37"/>
      <x:c r="B198" s="37"/>
      <x:c r="C198" s="37"/>
      <x:c r="D198" s="37"/>
      <x:c r="E198" s="37"/>
      <x:c r="F198" s="37"/>
      <x:c r="G198" s="37"/>
      <x:c r="H198" s="52"/>
      <x:c r="I198" s="37"/>
      <x:c r="J198" s="37"/>
      <x:c r="K198" s="37"/>
      <x:c r="L198" s="37"/>
    </x:row>
    <x:row r="199">
      <x:c r="A199" s="37"/>
      <x:c r="B199" s="37"/>
      <x:c r="C199" s="37"/>
      <x:c r="D199" s="37"/>
      <x:c r="E199" s="37"/>
      <x:c r="F199" s="37"/>
      <x:c r="G199" s="37"/>
      <x:c r="H199" s="52"/>
      <x:c r="I199" s="37"/>
      <x:c r="J199" s="37"/>
      <x:c r="K199" s="37"/>
      <x:c r="L199" s="37"/>
    </x:row>
    <x:row r="200">
      <x:c r="A200" s="37"/>
      <x:c r="B200" s="37"/>
      <x:c r="C200" s="37"/>
      <x:c r="D200" s="37"/>
      <x:c r="E200" s="37"/>
      <x:c r="F200" s="37"/>
      <x:c r="G200" s="37"/>
      <x:c r="H200" s="52"/>
      <x:c r="I200" s="37"/>
      <x:c r="J200" s="37"/>
      <x:c r="K200" s="37"/>
      <x:c r="L200" s="37"/>
    </x:row>
    <x:row r="201">
      <x:c r="A201" s="37"/>
      <x:c r="B201" s="37"/>
      <x:c r="C201" s="37"/>
      <x:c r="D201" s="37"/>
      <x:c r="E201" s="37"/>
      <x:c r="F201" s="37"/>
      <x:c r="G201" s="37"/>
      <x:c r="H201" s="52"/>
      <x:c r="I201" s="37"/>
      <x:c r="J201" s="37"/>
      <x:c r="K201" s="37"/>
      <x:c r="L201" s="37"/>
    </x:row>
    <x:row r="202">
      <x:c r="A202" s="37"/>
      <x:c r="B202" s="37"/>
      <x:c r="C202" s="37"/>
      <x:c r="D202" s="37"/>
      <x:c r="E202" s="37"/>
      <x:c r="F202" s="37"/>
      <x:c r="G202" s="37"/>
      <x:c r="H202" s="52"/>
      <x:c r="I202" s="37"/>
      <x:c r="J202" s="37"/>
      <x:c r="K202" s="37"/>
      <x:c r="L202" s="37"/>
    </x:row>
    <x:row r="203">
      <x:c r="A203" s="37"/>
      <x:c r="B203" s="37"/>
      <x:c r="C203" s="37"/>
      <x:c r="D203" s="37"/>
      <x:c r="E203" s="37"/>
      <x:c r="F203" s="37"/>
      <x:c r="G203" s="37"/>
      <x:c r="H203" s="52"/>
      <x:c r="I203" s="37"/>
      <x:c r="J203" s="37"/>
      <x:c r="K203" s="37"/>
      <x:c r="L203" s="37"/>
    </x:row>
    <x:row r="204">
      <x:c r="A204" s="37"/>
      <x:c r="B204" s="37"/>
      <x:c r="C204" s="37"/>
      <x:c r="D204" s="37"/>
      <x:c r="E204" s="37"/>
      <x:c r="F204" s="37"/>
      <x:c r="G204" s="37"/>
      <x:c r="H204" s="52"/>
      <x:c r="I204" s="37"/>
      <x:c r="J204" s="37"/>
      <x:c r="K204" s="37"/>
      <x:c r="L204" s="37"/>
    </x:row>
    <x:row r="205">
      <x:c r="A205" s="37"/>
      <x:c r="B205" s="37"/>
      <x:c r="C205" s="37"/>
      <x:c r="D205" s="37"/>
      <x:c r="E205" s="37"/>
      <x:c r="F205" s="37"/>
      <x:c r="G205" s="37"/>
      <x:c r="H205" s="52"/>
      <x:c r="I205" s="37"/>
      <x:c r="J205" s="37"/>
      <x:c r="K205" s="37"/>
      <x:c r="L205" s="37"/>
    </x:row>
  </x:sheetData>
  <x:mergeCells>
    <x:mergeCell ref="A1:L1"/>
  </x:mergeCells>
  <x:conditionalFormatting sqref="J6:J205">
    <x:cfRule type="containsText" dxfId="0" priority="1" operator="containsText" text="Pass"/>
    <x:cfRule type="containsText" dxfId="1" priority="2" operator="containsText" text="Needs Follow-up"/>
    <x:cfRule type="containsText" dxfId="2" priority="3" operator="containsText" text="Fail"/>
    <x:cfRule type="containsText" dxfId="3" priority="4" operator="containsText" text="N/A"/>
  </x:conditionalFormatting>
  <x:dataValidations count="1">
    <x:dataValidation type="list" sqref="J6:J205">
      <x:formula1>"Pass,Fail,Needs Follow-up,N/A"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a30ca564144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5" hidden="0" customWidth="1"/>
    <x:col min="3" max="3" width="32.5" hidden="0" customWidth="1"/>
    <x:col min="4" max="4" width="28.75" hidden="0" customWidth="1"/>
    <x:col min="5" max="5" width="25" hidden="0" customWidth="1"/>
    <x:col min="6" max="6" width="26.25" hidden="0" customWidth="1"/>
    <x:col min="7" max="7" width="33.75" hidden="0" customWidth="1"/>
    <x:col min="8" max="8" width="15" hidden="0" customWidth="1"/>
    <x:col min="9" max="9" width="11.880000114440918" hidden="0" customWidth="1"/>
    <x:col min="10" max="10" width="22.5" hidden="0" customWidth="1"/>
    <x:col min="11" max="11" width="11.25" hidden="0" customWidth="1"/>
    <x:col min="12" max="12" width="13.130000114440918" hidden="0" customWidth="1"/>
    <x:col min="13" max="13" width="23.75" hidden="0" customWidth="1"/>
  </x:cols>
  <x:sheetData>
    <x:row r="1" ht="25.5" customHeight="1">
      <x:c r="A1" s="54" t="str">
        <x:v>Findings Register and Management Action Plan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</x:row>
    <x:row r="5">
      <x:c r="A5" s="36" t="str">
        <x:v>Finding ID</x:v>
      </x:c>
      <x:c r="B5" s="36" t="str">
        <x:v>Title</x:v>
      </x:c>
      <x:c r="C5" s="36" t="str">
        <x:v>Condition</x:v>
      </x:c>
      <x:c r="D5" s="36" t="str">
        <x:v>Criteria</x:v>
      </x:c>
      <x:c r="E5" s="36" t="str">
        <x:v>Cause</x:v>
      </x:c>
      <x:c r="F5" s="36" t="str">
        <x:v>Effect/Risk</x:v>
      </x:c>
      <x:c r="G5" s="36" t="str">
        <x:v>Recommendation</x:v>
      </x:c>
      <x:c r="H5" s="36" t="str">
        <x:v>Owner</x:v>
      </x:c>
      <x:c r="I5" s="36" t="str">
        <x:v>Target Date</x:v>
      </x:c>
      <x:c r="J5" s="36" t="str">
        <x:v>Closure Evidence</x:v>
      </x:c>
      <x:c r="K5" s="36" t="str">
        <x:v>Severity</x:v>
      </x:c>
      <x:c r="L5" s="36" t="str">
        <x:v>Status</x:v>
      </x:c>
      <x:c r="M5" s="36" t="str">
        <x:v>Review Notes</x:v>
      </x:c>
    </x:row>
    <x:row r="6">
      <x:c r="A6" s="37" t="str">
        <x:v>F-001</x:v>
      </x:c>
      <x:c r="B6" s="37" t="str">
        <x:v>Manual match override approval missing</x:v>
      </x:c>
      <x:c r="C6" s="37" t="str">
        <x:v>One sampled invoice was paid after a manual three-way match override without retained approval evidence.</x:v>
      </x:c>
      <x:c r="D6" s="37" t="str">
        <x:v>Manual overrides require documented approval by procurement operations manager before payment release.</x:v>
      </x:c>
      <x:c r="E6" s="37" t="str">
        <x:v>Workflow approval occurred outside the system and was not attached to the transaction.</x:v>
      </x:c>
      <x:c r="F6" s="37" t="str">
        <x:v>Unauthorized or inaccurate invoices may be paid without review.</x:v>
      </x:c>
      <x:c r="G6" s="37" t="str">
        <x:v>Require system-enforced approval attachment before manual override release and run a monthly override exception review.</x:v>
      </x:c>
      <x:c r="H6" s="37" t="str">
        <x:v>Procurement Ops</x:v>
      </x:c>
      <x:c r="I6" s="52" t="n">
        <x:v>46265</x:v>
      </x:c>
      <x:c r="J6" s="37" t="str"/>
      <x:c r="K6" s="37" t="str">
        <x:v>High</x:v>
      </x:c>
      <x:c r="L6" s="37" t="str">
        <x:v>Open</x:v>
      </x:c>
      <x:c r="M6" s="37" t="str"/>
    </x:row>
    <x:row r="7">
      <x:c r="A7" s="37" t="str">
        <x:v>F-002</x:v>
      </x:c>
      <x:c r="B7" s="37" t="str">
        <x:v>Duplicate payment report not retained</x:v>
      </x:c>
      <x:c r="C7" s="37" t="str">
        <x:v>Duplicate payment report was not retained for one payment run.</x:v>
      </x:c>
      <x:c r="D7" s="37" t="str">
        <x:v>Payment runs should retain evidence of duplicate checks and AP manager approval.</x:v>
      </x:c>
      <x:c r="E7" s="37" t="str">
        <x:v>Payment run checklist did not require the duplicate report as a mandatory attachment.</x:v>
      </x:c>
      <x:c r="F7" s="37" t="str">
        <x:v>Duplicate payments may not be detected or independently reviewed.</x:v>
      </x:c>
      <x:c r="G7" s="37" t="str">
        <x:v>Update payment run checklist and configure attachment completeness check for duplicate report retention.</x:v>
      </x:c>
      <x:c r="H7" s="37" t="str">
        <x:v>Accounts Payable</x:v>
      </x:c>
      <x:c r="I7" s="52" t="n">
        <x:v>46280</x:v>
      </x:c>
      <x:c r="J7" s="37" t="str"/>
      <x:c r="K7" s="37" t="str">
        <x:v>Medium</x:v>
      </x:c>
      <x:c r="L7" s="37" t="str">
        <x:v>Open</x:v>
      </x:c>
      <x:c r="M7" s="37" t="str"/>
    </x:row>
    <x:row r="8">
      <x:c r="A8" s="37"/>
      <x:c r="B8" s="37"/>
      <x:c r="C8" s="37"/>
      <x:c r="D8" s="37"/>
      <x:c r="E8" s="37"/>
      <x:c r="F8" s="37"/>
      <x:c r="G8" s="37"/>
      <x:c r="H8" s="37"/>
      <x:c r="I8" s="52"/>
      <x:c r="J8" s="37"/>
      <x:c r="K8" s="37"/>
      <x:c r="L8" s="37"/>
      <x:c r="M8" s="37"/>
    </x:row>
    <x:row r="9">
      <x:c r="A9" s="37"/>
      <x:c r="B9" s="37"/>
      <x:c r="C9" s="37"/>
      <x:c r="D9" s="37"/>
      <x:c r="E9" s="37"/>
      <x:c r="F9" s="37"/>
      <x:c r="G9" s="37"/>
      <x:c r="H9" s="37"/>
      <x:c r="I9" s="52"/>
      <x:c r="J9" s="37"/>
      <x:c r="K9" s="37"/>
      <x:c r="L9" s="37"/>
      <x:c r="M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52"/>
      <x:c r="J10" s="37"/>
      <x:c r="K10" s="37"/>
      <x:c r="L10" s="37"/>
      <x:c r="M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52"/>
      <x:c r="J11" s="37"/>
      <x:c r="K11" s="37"/>
      <x:c r="L11" s="37"/>
      <x:c r="M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52"/>
      <x:c r="J12" s="37"/>
      <x:c r="K12" s="37"/>
      <x:c r="L12" s="37"/>
      <x:c r="M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52"/>
      <x:c r="J13" s="37"/>
      <x:c r="K13" s="37"/>
      <x:c r="L13" s="37"/>
      <x:c r="M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52"/>
      <x:c r="J14" s="37"/>
      <x:c r="K14" s="37"/>
      <x:c r="L14" s="37"/>
      <x:c r="M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52"/>
      <x:c r="J15" s="37"/>
      <x:c r="K15" s="37"/>
      <x:c r="L15" s="37"/>
      <x:c r="M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52"/>
      <x:c r="J16" s="37"/>
      <x:c r="K16" s="37"/>
      <x:c r="L16" s="37"/>
      <x:c r="M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52"/>
      <x:c r="J17" s="37"/>
      <x:c r="K17" s="37"/>
      <x:c r="L17" s="37"/>
      <x:c r="M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52"/>
      <x:c r="J18" s="37"/>
      <x:c r="K18" s="37"/>
      <x:c r="L18" s="37"/>
      <x:c r="M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52"/>
      <x:c r="J19" s="37"/>
      <x:c r="K19" s="37"/>
      <x:c r="L19" s="37"/>
      <x:c r="M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52"/>
      <x:c r="J20" s="37"/>
      <x:c r="K20" s="37"/>
      <x:c r="L20" s="37"/>
      <x:c r="M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52"/>
      <x:c r="J21" s="37"/>
      <x:c r="K21" s="37"/>
      <x:c r="L21" s="37"/>
      <x:c r="M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52"/>
      <x:c r="J22" s="37"/>
      <x:c r="K22" s="37"/>
      <x:c r="L22" s="37"/>
      <x:c r="M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52"/>
      <x:c r="J23" s="37"/>
      <x:c r="K23" s="37"/>
      <x:c r="L23" s="37"/>
      <x:c r="M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52"/>
      <x:c r="J24" s="37"/>
      <x:c r="K24" s="37"/>
      <x:c r="L24" s="37"/>
      <x:c r="M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52"/>
      <x:c r="J25" s="37"/>
      <x:c r="K25" s="37"/>
      <x:c r="L25" s="37"/>
      <x:c r="M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52"/>
      <x:c r="J26" s="37"/>
      <x:c r="K26" s="37"/>
      <x:c r="L26" s="37"/>
      <x:c r="M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52"/>
      <x:c r="J27" s="37"/>
      <x:c r="K27" s="37"/>
      <x:c r="L27" s="37"/>
      <x:c r="M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52"/>
      <x:c r="J28" s="37"/>
      <x:c r="K28" s="37"/>
      <x:c r="L28" s="37"/>
      <x:c r="M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52"/>
      <x:c r="J29" s="37"/>
      <x:c r="K29" s="37"/>
      <x:c r="L29" s="37"/>
      <x:c r="M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52"/>
      <x:c r="J30" s="37"/>
      <x:c r="K30" s="37"/>
      <x:c r="L30" s="37"/>
      <x:c r="M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52"/>
      <x:c r="J31" s="37"/>
      <x:c r="K31" s="37"/>
      <x:c r="L31" s="37"/>
      <x:c r="M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52"/>
      <x:c r="J32" s="37"/>
      <x:c r="K32" s="37"/>
      <x:c r="L32" s="37"/>
      <x:c r="M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52"/>
      <x:c r="J33" s="37"/>
      <x:c r="K33" s="37"/>
      <x:c r="L33" s="37"/>
      <x:c r="M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52"/>
      <x:c r="J34" s="37"/>
      <x:c r="K34" s="37"/>
      <x:c r="L34" s="37"/>
      <x:c r="M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52"/>
      <x:c r="J35" s="37"/>
      <x:c r="K35" s="37"/>
      <x:c r="L35" s="37"/>
      <x:c r="M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52"/>
      <x:c r="J36" s="37"/>
      <x:c r="K36" s="37"/>
      <x:c r="L36" s="37"/>
      <x:c r="M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52"/>
      <x:c r="J37" s="37"/>
      <x:c r="K37" s="37"/>
      <x:c r="L37" s="37"/>
      <x:c r="M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52"/>
      <x:c r="J38" s="37"/>
      <x:c r="K38" s="37"/>
      <x:c r="L38" s="37"/>
      <x:c r="M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52"/>
      <x:c r="J39" s="37"/>
      <x:c r="K39" s="37"/>
      <x:c r="L39" s="37"/>
      <x:c r="M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52"/>
      <x:c r="J40" s="37"/>
      <x:c r="K40" s="37"/>
      <x:c r="L40" s="37"/>
      <x:c r="M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52"/>
      <x:c r="J41" s="37"/>
      <x:c r="K41" s="37"/>
      <x:c r="L41" s="37"/>
      <x:c r="M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52"/>
      <x:c r="J42" s="37"/>
      <x:c r="K42" s="37"/>
      <x:c r="L42" s="37"/>
      <x:c r="M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52"/>
      <x:c r="J43" s="37"/>
      <x:c r="K43" s="37"/>
      <x:c r="L43" s="37"/>
      <x:c r="M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52"/>
      <x:c r="J44" s="37"/>
      <x:c r="K44" s="37"/>
      <x:c r="L44" s="37"/>
      <x:c r="M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52"/>
      <x:c r="J45" s="37"/>
      <x:c r="K45" s="37"/>
      <x:c r="L45" s="37"/>
      <x:c r="M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52"/>
      <x:c r="J46" s="37"/>
      <x:c r="K46" s="37"/>
      <x:c r="L46" s="37"/>
      <x:c r="M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52"/>
      <x:c r="J47" s="37"/>
      <x:c r="K47" s="37"/>
      <x:c r="L47" s="37"/>
      <x:c r="M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52"/>
      <x:c r="J48" s="37"/>
      <x:c r="K48" s="37"/>
      <x:c r="L48" s="37"/>
      <x:c r="M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52"/>
      <x:c r="J49" s="37"/>
      <x:c r="K49" s="37"/>
      <x:c r="L49" s="37"/>
      <x:c r="M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52"/>
      <x:c r="J50" s="37"/>
      <x:c r="K50" s="37"/>
      <x:c r="L50" s="37"/>
      <x:c r="M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52"/>
      <x:c r="J51" s="37"/>
      <x:c r="K51" s="37"/>
      <x:c r="L51" s="37"/>
      <x:c r="M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52"/>
      <x:c r="J52" s="37"/>
      <x:c r="K52" s="37"/>
      <x:c r="L52" s="37"/>
      <x:c r="M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52"/>
      <x:c r="J53" s="37"/>
      <x:c r="K53" s="37"/>
      <x:c r="L53" s="37"/>
      <x:c r="M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52"/>
      <x:c r="J54" s="37"/>
      <x:c r="K54" s="37"/>
      <x:c r="L54" s="37"/>
      <x:c r="M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52"/>
      <x:c r="J55" s="37"/>
      <x:c r="K55" s="37"/>
      <x:c r="L55" s="37"/>
      <x:c r="M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52"/>
      <x:c r="J56" s="37"/>
      <x:c r="K56" s="37"/>
      <x:c r="L56" s="37"/>
      <x:c r="M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52"/>
      <x:c r="J57" s="37"/>
      <x:c r="K57" s="37"/>
      <x:c r="L57" s="37"/>
      <x:c r="M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52"/>
      <x:c r="J58" s="37"/>
      <x:c r="K58" s="37"/>
      <x:c r="L58" s="37"/>
      <x:c r="M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52"/>
      <x:c r="J59" s="37"/>
      <x:c r="K59" s="37"/>
      <x:c r="L59" s="37"/>
      <x:c r="M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52"/>
      <x:c r="J60" s="37"/>
      <x:c r="K60" s="37"/>
      <x:c r="L60" s="37"/>
      <x:c r="M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52"/>
      <x:c r="J61" s="37"/>
      <x:c r="K61" s="37"/>
      <x:c r="L61" s="37"/>
      <x:c r="M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52"/>
      <x:c r="J62" s="37"/>
      <x:c r="K62" s="37"/>
      <x:c r="L62" s="37"/>
      <x:c r="M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52"/>
      <x:c r="J63" s="37"/>
      <x:c r="K63" s="37"/>
      <x:c r="L63" s="37"/>
      <x:c r="M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52"/>
      <x:c r="J64" s="37"/>
      <x:c r="K64" s="37"/>
      <x:c r="L64" s="37"/>
      <x:c r="M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52"/>
      <x:c r="J65" s="37"/>
      <x:c r="K65" s="37"/>
      <x:c r="L65" s="37"/>
      <x:c r="M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52"/>
      <x:c r="J66" s="37"/>
      <x:c r="K66" s="37"/>
      <x:c r="L66" s="37"/>
      <x:c r="M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52"/>
      <x:c r="J67" s="37"/>
      <x:c r="K67" s="37"/>
      <x:c r="L67" s="37"/>
      <x:c r="M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52"/>
      <x:c r="J68" s="37"/>
      <x:c r="K68" s="37"/>
      <x:c r="L68" s="37"/>
      <x:c r="M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52"/>
      <x:c r="J69" s="37"/>
      <x:c r="K69" s="37"/>
      <x:c r="L69" s="37"/>
      <x:c r="M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52"/>
      <x:c r="J70" s="37"/>
      <x:c r="K70" s="37"/>
      <x:c r="L70" s="37"/>
      <x:c r="M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52"/>
      <x:c r="J71" s="37"/>
      <x:c r="K71" s="37"/>
      <x:c r="L71" s="37"/>
      <x:c r="M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52"/>
      <x:c r="J72" s="37"/>
      <x:c r="K72" s="37"/>
      <x:c r="L72" s="37"/>
      <x:c r="M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52"/>
      <x:c r="J73" s="37"/>
      <x:c r="K73" s="37"/>
      <x:c r="L73" s="37"/>
      <x:c r="M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52"/>
      <x:c r="J74" s="37"/>
      <x:c r="K74" s="37"/>
      <x:c r="L74" s="37"/>
      <x:c r="M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52"/>
      <x:c r="J75" s="37"/>
      <x:c r="K75" s="37"/>
      <x:c r="L75" s="37"/>
      <x:c r="M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52"/>
      <x:c r="J76" s="37"/>
      <x:c r="K76" s="37"/>
      <x:c r="L76" s="37"/>
      <x:c r="M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52"/>
      <x:c r="J77" s="37"/>
      <x:c r="K77" s="37"/>
      <x:c r="L77" s="37"/>
      <x:c r="M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52"/>
      <x:c r="J78" s="37"/>
      <x:c r="K78" s="37"/>
      <x:c r="L78" s="37"/>
      <x:c r="M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52"/>
      <x:c r="J79" s="37"/>
      <x:c r="K79" s="37"/>
      <x:c r="L79" s="37"/>
      <x:c r="M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52"/>
      <x:c r="J80" s="37"/>
      <x:c r="K80" s="37"/>
      <x:c r="L80" s="37"/>
      <x:c r="M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52"/>
      <x:c r="J81" s="37"/>
      <x:c r="K81" s="37"/>
      <x:c r="L81" s="37"/>
      <x:c r="M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52"/>
      <x:c r="J82" s="37"/>
      <x:c r="K82" s="37"/>
      <x:c r="L82" s="37"/>
      <x:c r="M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52"/>
      <x:c r="J83" s="37"/>
      <x:c r="K83" s="37"/>
      <x:c r="L83" s="37"/>
      <x:c r="M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52"/>
      <x:c r="J84" s="37"/>
      <x:c r="K84" s="37"/>
      <x:c r="L84" s="37"/>
      <x:c r="M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52"/>
      <x:c r="J85" s="37"/>
      <x:c r="K85" s="37"/>
      <x:c r="L85" s="37"/>
      <x:c r="M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52"/>
      <x:c r="J86" s="37"/>
      <x:c r="K86" s="37"/>
      <x:c r="L86" s="37"/>
      <x:c r="M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52"/>
      <x:c r="J87" s="37"/>
      <x:c r="K87" s="37"/>
      <x:c r="L87" s="37"/>
      <x:c r="M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52"/>
      <x:c r="J88" s="37"/>
      <x:c r="K88" s="37"/>
      <x:c r="L88" s="37"/>
      <x:c r="M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52"/>
      <x:c r="J89" s="37"/>
      <x:c r="K89" s="37"/>
      <x:c r="L89" s="37"/>
      <x:c r="M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52"/>
      <x:c r="J90" s="37"/>
      <x:c r="K90" s="37"/>
      <x:c r="L90" s="37"/>
      <x:c r="M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52"/>
      <x:c r="J91" s="37"/>
      <x:c r="K91" s="37"/>
      <x:c r="L91" s="37"/>
      <x:c r="M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52"/>
      <x:c r="J92" s="37"/>
      <x:c r="K92" s="37"/>
      <x:c r="L92" s="37"/>
      <x:c r="M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52"/>
      <x:c r="J93" s="37"/>
      <x:c r="K93" s="37"/>
      <x:c r="L93" s="37"/>
      <x:c r="M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52"/>
      <x:c r="J94" s="37"/>
      <x:c r="K94" s="37"/>
      <x:c r="L94" s="37"/>
      <x:c r="M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52"/>
      <x:c r="J95" s="37"/>
      <x:c r="K95" s="37"/>
      <x:c r="L95" s="37"/>
      <x:c r="M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52"/>
      <x:c r="J96" s="37"/>
      <x:c r="K96" s="37"/>
      <x:c r="L96" s="37"/>
      <x:c r="M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52"/>
      <x:c r="J97" s="37"/>
      <x:c r="K97" s="37"/>
      <x:c r="L97" s="37"/>
      <x:c r="M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52"/>
      <x:c r="J98" s="37"/>
      <x:c r="K98" s="37"/>
      <x:c r="L98" s="37"/>
      <x:c r="M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52"/>
      <x:c r="J99" s="37"/>
      <x:c r="K99" s="37"/>
      <x:c r="L99" s="37"/>
      <x:c r="M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52"/>
      <x:c r="J100" s="37"/>
      <x:c r="K100" s="37"/>
      <x:c r="L100" s="37"/>
      <x:c r="M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52"/>
      <x:c r="J101" s="37"/>
      <x:c r="K101" s="37"/>
      <x:c r="L101" s="37"/>
      <x:c r="M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52"/>
      <x:c r="J102" s="37"/>
      <x:c r="K102" s="37"/>
      <x:c r="L102" s="37"/>
      <x:c r="M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52"/>
      <x:c r="J103" s="37"/>
      <x:c r="K103" s="37"/>
      <x:c r="L103" s="37"/>
      <x:c r="M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52"/>
      <x:c r="J104" s="37"/>
      <x:c r="K104" s="37"/>
      <x:c r="L104" s="37"/>
      <x:c r="M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52"/>
      <x:c r="J105" s="37"/>
      <x:c r="K105" s="37"/>
      <x:c r="L105" s="37"/>
      <x:c r="M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52"/>
      <x:c r="J106" s="37"/>
      <x:c r="K106" s="37"/>
      <x:c r="L106" s="37"/>
      <x:c r="M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52"/>
      <x:c r="J107" s="37"/>
      <x:c r="K107" s="37"/>
      <x:c r="L107" s="37"/>
      <x:c r="M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52"/>
      <x:c r="J108" s="37"/>
      <x:c r="K108" s="37"/>
      <x:c r="L108" s="37"/>
      <x:c r="M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52"/>
      <x:c r="J109" s="37"/>
      <x:c r="K109" s="37"/>
      <x:c r="L109" s="37"/>
      <x:c r="M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52"/>
      <x:c r="J110" s="37"/>
      <x:c r="K110" s="37"/>
      <x:c r="L110" s="37"/>
      <x:c r="M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52"/>
      <x:c r="J111" s="37"/>
      <x:c r="K111" s="37"/>
      <x:c r="L111" s="37"/>
      <x:c r="M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52"/>
      <x:c r="J112" s="37"/>
      <x:c r="K112" s="37"/>
      <x:c r="L112" s="37"/>
      <x:c r="M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52"/>
      <x:c r="J113" s="37"/>
      <x:c r="K113" s="37"/>
      <x:c r="L113" s="37"/>
      <x:c r="M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52"/>
      <x:c r="J114" s="37"/>
      <x:c r="K114" s="37"/>
      <x:c r="L114" s="37"/>
      <x:c r="M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52"/>
      <x:c r="J115" s="37"/>
      <x:c r="K115" s="37"/>
      <x:c r="L115" s="37"/>
      <x:c r="M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52"/>
      <x:c r="J116" s="37"/>
      <x:c r="K116" s="37"/>
      <x:c r="L116" s="37"/>
      <x:c r="M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52"/>
      <x:c r="J117" s="37"/>
      <x:c r="K117" s="37"/>
      <x:c r="L117" s="37"/>
      <x:c r="M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52"/>
      <x:c r="J118" s="37"/>
      <x:c r="K118" s="37"/>
      <x:c r="L118" s="37"/>
      <x:c r="M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52"/>
      <x:c r="J119" s="37"/>
      <x:c r="K119" s="37"/>
      <x:c r="L119" s="37"/>
      <x:c r="M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52"/>
      <x:c r="J120" s="37"/>
      <x:c r="K120" s="37"/>
      <x:c r="L120" s="37"/>
      <x:c r="M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52"/>
      <x:c r="J121" s="37"/>
      <x:c r="K121" s="37"/>
      <x:c r="L121" s="37"/>
      <x:c r="M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52"/>
      <x:c r="J122" s="37"/>
      <x:c r="K122" s="37"/>
      <x:c r="L122" s="37"/>
      <x:c r="M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52"/>
      <x:c r="J123" s="37"/>
      <x:c r="K123" s="37"/>
      <x:c r="L123" s="37"/>
      <x:c r="M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52"/>
      <x:c r="J124" s="37"/>
      <x:c r="K124" s="37"/>
      <x:c r="L124" s="37"/>
      <x:c r="M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52"/>
      <x:c r="J125" s="37"/>
      <x:c r="K125" s="37"/>
      <x:c r="L125" s="37"/>
      <x:c r="M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52"/>
      <x:c r="J126" s="37"/>
      <x:c r="K126" s="37"/>
      <x:c r="L126" s="37"/>
      <x:c r="M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52"/>
      <x:c r="J127" s="37"/>
      <x:c r="K127" s="37"/>
      <x:c r="L127" s="37"/>
      <x:c r="M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52"/>
      <x:c r="J128" s="37"/>
      <x:c r="K128" s="37"/>
      <x:c r="L128" s="37"/>
      <x:c r="M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52"/>
      <x:c r="J129" s="37"/>
      <x:c r="K129" s="37"/>
      <x:c r="L129" s="37"/>
      <x:c r="M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52"/>
      <x:c r="J130" s="37"/>
      <x:c r="K130" s="37"/>
      <x:c r="L130" s="37"/>
      <x:c r="M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52"/>
      <x:c r="J131" s="37"/>
      <x:c r="K131" s="37"/>
      <x:c r="L131" s="37"/>
      <x:c r="M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52"/>
      <x:c r="J132" s="37"/>
      <x:c r="K132" s="37"/>
      <x:c r="L132" s="37"/>
      <x:c r="M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52"/>
      <x:c r="J133" s="37"/>
      <x:c r="K133" s="37"/>
      <x:c r="L133" s="37"/>
      <x:c r="M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52"/>
      <x:c r="J134" s="37"/>
      <x:c r="K134" s="37"/>
      <x:c r="L134" s="37"/>
      <x:c r="M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52"/>
      <x:c r="J135" s="37"/>
      <x:c r="K135" s="37"/>
      <x:c r="L135" s="37"/>
      <x:c r="M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52"/>
      <x:c r="J136" s="37"/>
      <x:c r="K136" s="37"/>
      <x:c r="L136" s="37"/>
      <x:c r="M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52"/>
      <x:c r="J137" s="37"/>
      <x:c r="K137" s="37"/>
      <x:c r="L137" s="37"/>
      <x:c r="M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52"/>
      <x:c r="J138" s="37"/>
      <x:c r="K138" s="37"/>
      <x:c r="L138" s="37"/>
      <x:c r="M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52"/>
      <x:c r="J139" s="37"/>
      <x:c r="K139" s="37"/>
      <x:c r="L139" s="37"/>
      <x:c r="M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52"/>
      <x:c r="J140" s="37"/>
      <x:c r="K140" s="37"/>
      <x:c r="L140" s="37"/>
      <x:c r="M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52"/>
      <x:c r="J141" s="37"/>
      <x:c r="K141" s="37"/>
      <x:c r="L141" s="37"/>
      <x:c r="M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52"/>
      <x:c r="J142" s="37"/>
      <x:c r="K142" s="37"/>
      <x:c r="L142" s="37"/>
      <x:c r="M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52"/>
      <x:c r="J143" s="37"/>
      <x:c r="K143" s="37"/>
      <x:c r="L143" s="37"/>
      <x:c r="M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52"/>
      <x:c r="J144" s="37"/>
      <x:c r="K144" s="37"/>
      <x:c r="L144" s="37"/>
      <x:c r="M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52"/>
      <x:c r="J145" s="37"/>
      <x:c r="K145" s="37"/>
      <x:c r="L145" s="37"/>
      <x:c r="M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52"/>
      <x:c r="J146" s="37"/>
      <x:c r="K146" s="37"/>
      <x:c r="L146" s="37"/>
      <x:c r="M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52"/>
      <x:c r="J147" s="37"/>
      <x:c r="K147" s="37"/>
      <x:c r="L147" s="37"/>
      <x:c r="M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52"/>
      <x:c r="J148" s="37"/>
      <x:c r="K148" s="37"/>
      <x:c r="L148" s="37"/>
      <x:c r="M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52"/>
      <x:c r="J149" s="37"/>
      <x:c r="K149" s="37"/>
      <x:c r="L149" s="37"/>
      <x:c r="M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52"/>
      <x:c r="J150" s="37"/>
      <x:c r="K150" s="37"/>
      <x:c r="L150" s="37"/>
      <x:c r="M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52"/>
      <x:c r="J151" s="37"/>
      <x:c r="K151" s="37"/>
      <x:c r="L151" s="37"/>
      <x:c r="M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52"/>
      <x:c r="J152" s="37"/>
      <x:c r="K152" s="37"/>
      <x:c r="L152" s="37"/>
      <x:c r="M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52"/>
      <x:c r="J153" s="37"/>
      <x:c r="K153" s="37"/>
      <x:c r="L153" s="37"/>
      <x:c r="M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52"/>
      <x:c r="J154" s="37"/>
      <x:c r="K154" s="37"/>
      <x:c r="L154" s="37"/>
      <x:c r="M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52"/>
      <x:c r="J155" s="37"/>
      <x:c r="K155" s="37"/>
      <x:c r="L155" s="37"/>
      <x:c r="M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52"/>
      <x:c r="J156" s="37"/>
      <x:c r="K156" s="37"/>
      <x:c r="L156" s="37"/>
      <x:c r="M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52"/>
      <x:c r="J157" s="37"/>
      <x:c r="K157" s="37"/>
      <x:c r="L157" s="37"/>
      <x:c r="M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52"/>
      <x:c r="J158" s="37"/>
      <x:c r="K158" s="37"/>
      <x:c r="L158" s="37"/>
      <x:c r="M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52"/>
      <x:c r="J159" s="37"/>
      <x:c r="K159" s="37"/>
      <x:c r="L159" s="37"/>
      <x:c r="M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52"/>
      <x:c r="J160" s="37"/>
      <x:c r="K160" s="37"/>
      <x:c r="L160" s="37"/>
      <x:c r="M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52"/>
      <x:c r="J161" s="37"/>
      <x:c r="K161" s="37"/>
      <x:c r="L161" s="37"/>
      <x:c r="M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52"/>
      <x:c r="J162" s="37"/>
      <x:c r="K162" s="37"/>
      <x:c r="L162" s="37"/>
      <x:c r="M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52"/>
      <x:c r="J163" s="37"/>
      <x:c r="K163" s="37"/>
      <x:c r="L163" s="37"/>
      <x:c r="M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52"/>
      <x:c r="J164" s="37"/>
      <x:c r="K164" s="37"/>
      <x:c r="L164" s="37"/>
      <x:c r="M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52"/>
      <x:c r="J165" s="37"/>
      <x:c r="K165" s="37"/>
      <x:c r="L165" s="37"/>
      <x:c r="M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52"/>
      <x:c r="J166" s="37"/>
      <x:c r="K166" s="37"/>
      <x:c r="L166" s="37"/>
      <x:c r="M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52"/>
      <x:c r="J167" s="37"/>
      <x:c r="K167" s="37"/>
      <x:c r="L167" s="37"/>
      <x:c r="M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52"/>
      <x:c r="J168" s="37"/>
      <x:c r="K168" s="37"/>
      <x:c r="L168" s="37"/>
      <x:c r="M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52"/>
      <x:c r="J169" s="37"/>
      <x:c r="K169" s="37"/>
      <x:c r="L169" s="37"/>
      <x:c r="M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52"/>
      <x:c r="J170" s="37"/>
      <x:c r="K170" s="37"/>
      <x:c r="L170" s="37"/>
      <x:c r="M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52"/>
      <x:c r="J171" s="37"/>
      <x:c r="K171" s="37"/>
      <x:c r="L171" s="37"/>
      <x:c r="M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52"/>
      <x:c r="J172" s="37"/>
      <x:c r="K172" s="37"/>
      <x:c r="L172" s="37"/>
      <x:c r="M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52"/>
      <x:c r="J173" s="37"/>
      <x:c r="K173" s="37"/>
      <x:c r="L173" s="37"/>
      <x:c r="M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52"/>
      <x:c r="J174" s="37"/>
      <x:c r="K174" s="37"/>
      <x:c r="L174" s="37"/>
      <x:c r="M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52"/>
      <x:c r="J175" s="37"/>
      <x:c r="K175" s="37"/>
      <x:c r="L175" s="37"/>
      <x:c r="M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52"/>
      <x:c r="J176" s="37"/>
      <x:c r="K176" s="37"/>
      <x:c r="L176" s="37"/>
      <x:c r="M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52"/>
      <x:c r="J177" s="37"/>
      <x:c r="K177" s="37"/>
      <x:c r="L177" s="37"/>
      <x:c r="M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52"/>
      <x:c r="J178" s="37"/>
      <x:c r="K178" s="37"/>
      <x:c r="L178" s="37"/>
      <x:c r="M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52"/>
      <x:c r="J179" s="37"/>
      <x:c r="K179" s="37"/>
      <x:c r="L179" s="37"/>
      <x:c r="M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52"/>
      <x:c r="J180" s="37"/>
      <x:c r="K180" s="37"/>
      <x:c r="L180" s="37"/>
      <x:c r="M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52"/>
      <x:c r="J181" s="37"/>
      <x:c r="K181" s="37"/>
      <x:c r="L181" s="37"/>
      <x:c r="M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52"/>
      <x:c r="J182" s="37"/>
      <x:c r="K182" s="37"/>
      <x:c r="L182" s="37"/>
      <x:c r="M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52"/>
      <x:c r="J183" s="37"/>
      <x:c r="K183" s="37"/>
      <x:c r="L183" s="37"/>
      <x:c r="M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52"/>
      <x:c r="J184" s="37"/>
      <x:c r="K184" s="37"/>
      <x:c r="L184" s="37"/>
      <x:c r="M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52"/>
      <x:c r="J185" s="37"/>
      <x:c r="K185" s="37"/>
      <x:c r="L185" s="37"/>
      <x:c r="M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52"/>
      <x:c r="J186" s="37"/>
      <x:c r="K186" s="37"/>
      <x:c r="L186" s="37"/>
      <x:c r="M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52"/>
      <x:c r="J187" s="37"/>
      <x:c r="K187" s="37"/>
      <x:c r="L187" s="37"/>
      <x:c r="M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52"/>
      <x:c r="J188" s="37"/>
      <x:c r="K188" s="37"/>
      <x:c r="L188" s="37"/>
      <x:c r="M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52"/>
      <x:c r="J189" s="37"/>
      <x:c r="K189" s="37"/>
      <x:c r="L189" s="37"/>
      <x:c r="M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52"/>
      <x:c r="J190" s="37"/>
      <x:c r="K190" s="37"/>
      <x:c r="L190" s="37"/>
      <x:c r="M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52"/>
      <x:c r="J191" s="37"/>
      <x:c r="K191" s="37"/>
      <x:c r="L191" s="37"/>
      <x:c r="M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52"/>
      <x:c r="J192" s="37"/>
      <x:c r="K192" s="37"/>
      <x:c r="L192" s="37"/>
      <x:c r="M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52"/>
      <x:c r="J193" s="37"/>
      <x:c r="K193" s="37"/>
      <x:c r="L193" s="37"/>
      <x:c r="M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52"/>
      <x:c r="J194" s="37"/>
      <x:c r="K194" s="37"/>
      <x:c r="L194" s="37"/>
      <x:c r="M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52"/>
      <x:c r="J195" s="37"/>
      <x:c r="K195" s="37"/>
      <x:c r="L195" s="37"/>
      <x:c r="M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52"/>
      <x:c r="J196" s="37"/>
      <x:c r="K196" s="37"/>
      <x:c r="L196" s="37"/>
      <x:c r="M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52"/>
      <x:c r="J197" s="37"/>
      <x:c r="K197" s="37"/>
      <x:c r="L197" s="37"/>
      <x:c r="M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52"/>
      <x:c r="J198" s="37"/>
      <x:c r="K198" s="37"/>
      <x:c r="L198" s="37"/>
      <x:c r="M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52"/>
      <x:c r="J199" s="37"/>
      <x:c r="K199" s="37"/>
      <x:c r="L199" s="37"/>
      <x:c r="M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52"/>
      <x:c r="J200" s="37"/>
      <x:c r="K200" s="37"/>
      <x:c r="L200" s="37"/>
      <x:c r="M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52"/>
      <x:c r="J201" s="37"/>
      <x:c r="K201" s="37"/>
      <x:c r="L201" s="37"/>
      <x:c r="M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52"/>
      <x:c r="J202" s="37"/>
      <x:c r="K202" s="37"/>
      <x:c r="L202" s="37"/>
      <x:c r="M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52"/>
      <x:c r="J203" s="37"/>
      <x:c r="K203" s="37"/>
      <x:c r="L203" s="37"/>
      <x:c r="M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52"/>
      <x:c r="J204" s="37"/>
      <x:c r="K204" s="37"/>
      <x:c r="L204" s="37"/>
      <x:c r="M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52"/>
      <x:c r="J205" s="37"/>
      <x:c r="K205" s="37"/>
      <x:c r="L205" s="37"/>
      <x:c r="M205" s="37"/>
    </x:row>
  </x:sheetData>
  <x:mergeCells>
    <x:mergeCell ref="A1:M1"/>
  </x:mergeCells>
  <x:dataValidations count="2">
    <x:dataValidation type="list" sqref="K6:K205">
      <x:formula1>"Low,Medium,High,Critical"</x:formula1>
    </x:dataValidation>
    <x:dataValidation type="list" sqref="L6:L205">
      <x:formula1>"Open,In Progress,Closed,Accepted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733e537d6d45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1.25" hidden="0" customWidth="1"/>
    <x:col min="3" max="3" width="18.1299991607666" hidden="0" customWidth="1"/>
    <x:col min="4" max="4" width="11.25" hidden="0" customWidth="1"/>
    <x:col min="5" max="5" width="20" hidden="0" customWidth="1"/>
    <x:col min="6" max="6" width="23.75" hidden="0" customWidth="1"/>
    <x:col min="7" max="7" width="13.130000114440918" hidden="0" customWidth="1"/>
    <x:col min="8" max="8" width="11.880000114440918" hidden="0" customWidth="1"/>
    <x:col min="9" max="9" width="28.75" hidden="0" customWidth="1"/>
  </x:cols>
  <x:sheetData>
    <x:row r="1" ht="25.5" customHeight="1">
      <x:c r="A1" s="54" t="str">
        <x:v>Evidence Log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</x:row>
    <x:row r="5">
      <x:c r="A5" s="36" t="str">
        <x:v>Evidence Ref</x:v>
      </x:c>
      <x:c r="B5" s="36" t="str">
        <x:v>Document / Data Source</x:v>
      </x:c>
      <x:c r="C5" s="36" t="str">
        <x:v>Control Area</x:v>
      </x:c>
      <x:c r="D5" s="36" t="str">
        <x:v>Period</x:v>
      </x:c>
      <x:c r="E5" s="36" t="str">
        <x:v>Owner / Source</x:v>
      </x:c>
      <x:c r="F5" s="36" t="str">
        <x:v>Assertion Supported</x:v>
      </x:c>
      <x:c r="G5" s="36" t="str">
        <x:v>Reviewed By</x:v>
      </x:c>
      <x:c r="H5" s="36" t="str">
        <x:v>Status</x:v>
      </x:c>
      <x:c r="I5" s="36" t="str">
        <x:v>Retention Notes</x:v>
      </x:c>
    </x:row>
    <x:row r="6">
      <x:c r="A6" s="37" t="str">
        <x:v>E-001</x:v>
      </x:c>
      <x:c r="B6" s="37" t="str">
        <x:v>Vendor onboarding packet - Gulf Tech Services</x:v>
      </x:c>
      <x:c r="C6" s="37" t="str">
        <x:v>Vendor onboarding</x:v>
      </x:c>
      <x:c r="D6" s="37" t="str">
        <x:v>Q1 2026</x:v>
      </x:c>
      <x:c r="E6" s="37" t="str">
        <x:v>Procurement Master Data</x:v>
      </x:c>
      <x:c r="F6" s="37" t="str">
        <x:v>Existence, authorization, accuracy</x:v>
      </x:c>
      <x:c r="G6" s="37" t="str"/>
      <x:c r="H6" s="37" t="str">
        <x:v>Received</x:v>
      </x:c>
      <x:c r="I6" s="37" t="str">
        <x:v>Store in audit file section 2.1</x:v>
      </x:c>
    </x:row>
    <x:row r="7">
      <x:c r="A7" s="37" t="str">
        <x:v>E-002</x:v>
      </x:c>
      <x:c r="B7" s="37" t="str">
        <x:v>PO approval workflow export - PO-45002</x:v>
      </x:c>
      <x:c r="C7" s="37" t="str">
        <x:v>PO approval</x:v>
      </x:c>
      <x:c r="D7" s="37" t="str">
        <x:v>Q1 2026</x:v>
      </x:c>
      <x:c r="E7" s="37" t="str">
        <x:v>ERP workflow</x:v>
      </x:c>
      <x:c r="F7" s="37" t="str">
        <x:v>Authorization, cutoff</x:v>
      </x:c>
      <x:c r="G7" s="37" t="str"/>
      <x:c r="H7" s="37" t="str">
        <x:v>Received</x:v>
      </x:c>
      <x:c r="I7" s="37" t="str">
        <x:v>Tie to TXN-1002</x:v>
      </x:c>
    </x:row>
    <x:row r="8">
      <x:c r="A8" s="37" t="str">
        <x:v>E-003</x:v>
      </x:c>
      <x:c r="B8" s="37" t="str">
        <x:v>PO/GRN/invoice packet - TXN-1008</x:v>
      </x:c>
      <x:c r="C8" s="37" t="str">
        <x:v>Three-way match</x:v>
      </x:c>
      <x:c r="D8" s="37" t="str">
        <x:v>Q2 2026</x:v>
      </x:c>
      <x:c r="E8" s="37" t="str">
        <x:v>AP shared drive</x:v>
      </x:c>
      <x:c r="F8" s="37" t="str">
        <x:v>Accuracy, completeness</x:v>
      </x:c>
      <x:c r="G8" s="37" t="str"/>
      <x:c r="H8" s="37" t="str">
        <x:v>Exception</x:v>
      </x:c>
      <x:c r="I8" s="37" t="str">
        <x:v>Missing override approval</x:v>
      </x:c>
    </x:row>
    <x:row r="9">
      <x:c r="A9" s="37" t="str">
        <x:v>E-004</x:v>
      </x:c>
      <x:c r="B9" s="37" t="str">
        <x:v>Contract and invoice support - TXN-1003</x:v>
      </x:c>
      <x:c r="C9" s="37" t="str">
        <x:v>Contract compliance</x:v>
      </x:c>
      <x:c r="D9" s="37" t="str">
        <x:v>Q1 2026</x:v>
      </x:c>
      <x:c r="E9" s="37" t="str">
        <x:v>Legal repository</x:v>
      </x:c>
      <x:c r="F9" s="37" t="str">
        <x:v>Accuracy, compliance</x:v>
      </x:c>
      <x:c r="G9" s="37" t="str"/>
      <x:c r="H9" s="37" t="str">
        <x:v>Received</x:v>
      </x:c>
      <x:c r="I9" s="37" t="str">
        <x:v>Includes amendment 2</x:v>
      </x:c>
    </x:row>
    <x:row r="10">
      <x:c r="A10" s="37" t="str">
        <x:v>E-005</x:v>
      </x:c>
      <x:c r="B10" s="37" t="str">
        <x:v>Payment run package - Prime Facilities</x:v>
      </x:c>
      <x:c r="C10" s="37" t="str">
        <x:v>Invoice payment</x:v>
      </x:c>
      <x:c r="D10" s="37" t="str">
        <x:v>Q1 2026</x:v>
      </x:c>
      <x:c r="E10" s="37" t="str">
        <x:v>Accounts Payable</x:v>
      </x:c>
      <x:c r="F10" s="37" t="str">
        <x:v>Accuracy, occurrence</x:v>
      </x:c>
      <x:c r="G10" s="37" t="str"/>
      <x:c r="H10" s="37" t="str">
        <x:v>Exception</x:v>
      </x:c>
      <x:c r="I10" s="37" t="str">
        <x:v>Duplicate report missing</x:v>
      </x:c>
    </x:row>
    <x:row r="11">
      <x:c r="A11" s="37" t="str">
        <x:v>E-006</x:v>
      </x:c>
      <x:c r="B11" s="37" t="str">
        <x:v>UBO declaration and UAE/UN sanctions screening - Gulf Tech Services</x:v>
      </x:c>
      <x:c r="C11" s="37" t="str">
        <x:v>Vendor onboarding</x:v>
      </x:c>
      <x:c r="D11" s="37" t="str">
        <x:v>Q1 2026</x:v>
      </x:c>
      <x:c r="E11" s="37" t="str">
        <x:v>Procurement Master Data</x:v>
      </x:c>
      <x:c r="F11" s="37" t="str">
        <x:v>Compliance, authorization, existence</x:v>
      </x:c>
      <x:c r="G11" s="37" t="str"/>
      <x:c r="H11" s="37" t="str">
        <x:v>Received</x:v>
      </x:c>
      <x:c r="I11" s="37" t="str">
        <x:v>Tie to T-002</x:v>
      </x:c>
    </x:row>
    <x:row r="12">
      <x:c r="A12" s="37" t="str">
        <x:v>E-007</x:v>
      </x:c>
      <x:c r="B12" s="37" t="str">
        <x:v>MoHRE compliance certificate - Prime Facilities LLC</x:v>
      </x:c>
      <x:c r="C12" s="37" t="str">
        <x:v>Vendor risk</x:v>
      </x:c>
      <x:c r="D12" s="37" t="str">
        <x:v>2026</x:v>
      </x:c>
      <x:c r="E12" s="37" t="str">
        <x:v>Procurement / HR compliance</x:v>
      </x:c>
      <x:c r="F12" s="37" t="str">
        <x:v>Compliance, continuity, authorization</x:v>
      </x:c>
      <x:c r="G12" s="37" t="str"/>
      <x:c r="H12" s="37" t="str">
        <x:v>Received</x:v>
      </x:c>
      <x:c r="I12" s="37" t="str">
        <x:v>Tie to T-007 and Vendor Risk sheet</x:v>
      </x:c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</x:row>
    <x:row r="201">
      <x:c r="A201" s="37"/>
      <x:c r="B201" s="37"/>
      <x:c r="C201" s="37"/>
      <x:c r="D201" s="37"/>
      <x:c r="E201" s="37"/>
      <x:c r="F201" s="37"/>
      <x:c r="G201" s="37"/>
      <x:c r="H201" s="37"/>
      <x:c r="I201" s="37"/>
    </x:row>
    <x:row r="202">
      <x:c r="A202" s="37"/>
      <x:c r="B202" s="37"/>
      <x:c r="C202" s="37"/>
      <x:c r="D202" s="37"/>
      <x:c r="E202" s="37"/>
      <x:c r="F202" s="37"/>
      <x:c r="G202" s="37"/>
      <x:c r="H202" s="37"/>
      <x:c r="I202" s="37"/>
    </x:row>
    <x:row r="203">
      <x:c r="A203" s="37"/>
      <x:c r="B203" s="37"/>
      <x:c r="C203" s="37"/>
      <x:c r="D203" s="37"/>
      <x:c r="E203" s="37"/>
      <x:c r="F203" s="37"/>
      <x:c r="G203" s="37"/>
      <x:c r="H203" s="37"/>
      <x:c r="I203" s="37"/>
    </x:row>
    <x:row r="204">
      <x:c r="A204" s="37"/>
      <x:c r="B204" s="37"/>
      <x:c r="C204" s="37"/>
      <x:c r="D204" s="37"/>
      <x:c r="E204" s="37"/>
      <x:c r="F204" s="37"/>
      <x:c r="G204" s="37"/>
      <x:c r="H204" s="37"/>
      <x:c r="I204" s="37"/>
    </x:row>
    <x:row r="205">
      <x:c r="A205" s="37"/>
      <x:c r="B205" s="37"/>
      <x:c r="C205" s="37"/>
      <x:c r="D205" s="37"/>
      <x:c r="E205" s="37"/>
      <x:c r="F205" s="37"/>
      <x:c r="G205" s="37"/>
      <x:c r="H205" s="37"/>
      <x:c r="I205" s="37"/>
    </x:row>
  </x:sheetData>
  <x:mergeCells>
    <x:mergeCell ref="A1:I1"/>
  </x:mergeCells>
  <x:dataValidations count="1">
    <x:dataValidation type="list" sqref="H6:H205">
      <x:formula1>"Requested,Received,Exception,Reviewed,Archived"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dbed6f7b6a4d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8.75" hidden="0" customWidth="1"/>
    <x:col min="3" max="3" width="13.75" hidden="0" customWidth="1"/>
    <x:col min="4" max="4" width="11.880000114440918" hidden="0" customWidth="1"/>
    <x:col min="5" max="5" width="13.130000114440918" hidden="0" customWidth="1"/>
    <x:col min="6" max="6" width="11.880000114440918" hidden="0" customWidth="1"/>
    <x:col min="7" max="7" width="21.25" hidden="0" customWidth="1"/>
    <x:col min="8" max="8" width="20" hidden="0" customWidth="1"/>
    <x:col min="9" max="9" width="18.75" hidden="0" customWidth="1"/>
    <x:col min="10" max="10" width="13.75" hidden="0" customWidth="1"/>
    <x:col min="11" max="11" width="11.25" hidden="0" customWidth="1"/>
    <x:col min="12" max="12" width="11.25" hidden="0" customWidth="1"/>
    <x:col min="13" max="13" width="30.6299991607666" hidden="0" customWidth="1"/>
  </x:cols>
  <x:sheetData>
    <x:row r="1" ht="25.5" customHeight="1">
      <x:c r="A1" s="54" t="str">
        <x:v>Vendor Risk Assessment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</x:row>
    <x:row r="5">
      <x:c r="A5" s="36" t="str">
        <x:v>Vendor</x:v>
      </x:c>
      <x:c r="B5" s="36" t="str">
        <x:v>Category</x:v>
      </x:c>
      <x:c r="C5" s="36" t="str">
        <x:v>Annual Spend</x:v>
      </x:c>
      <x:c r="D5" s="36" t="str">
        <x:v>Criticality</x:v>
      </x:c>
      <x:c r="E5" s="36" t="str">
        <x:v>New / Existing</x:v>
      </x:c>
      <x:c r="F5" s="36" t="str">
        <x:v>Single Source</x:v>
      </x:c>
      <x:c r="G5" s="36" t="str">
        <x:v>Labor / Service Supplier</x:v>
      </x:c>
      <x:c r="H5" s="36" t="str">
        <x:v>MoHRE Certificate Status</x:v>
      </x:c>
      <x:c r="I5" s="36" t="str">
        <x:v>Due Diligence Status</x:v>
      </x:c>
      <x:c r="J5" s="36" t="str">
        <x:v>Contract Status</x:v>
      </x:c>
      <x:c r="K5" s="36" t="str">
        <x:v>Risk Score</x:v>
      </x:c>
      <x:c r="L5" s="36" t="str">
        <x:v>Risk Tier</x:v>
      </x:c>
      <x:c r="M5" s="36" t="str">
        <x:v>Audit Response</x:v>
      </x:c>
    </x:row>
    <x:row r="6">
      <x:c r="A6" s="37" t="str">
        <x:v>Gulf Tech Services</x:v>
      </x:c>
      <x:c r="B6" s="37" t="str">
        <x:v>IT services</x:v>
      </x:c>
      <x:c r="C6" s="53" t="n">
        <x:v>390000</x:v>
      </x:c>
      <x:c r="D6" s="37" t="str">
        <x:v>High</x:v>
      </x:c>
      <x:c r="E6" s="37" t="str">
        <x:v>New</x:v>
      </x:c>
      <x:c r="F6" s="37" t="str">
        <x:v>No</x:v>
      </x:c>
      <x:c r="G6" s="37" t="str">
        <x:v>Long-term service supplier</x:v>
      </x:c>
      <x:c r="H6" s="37" t="str">
        <x:v>Valid 2026 certificate</x:v>
      </x:c>
      <x:c r="I6" s="37" t="str">
        <x:v>Complete</x:v>
      </x:c>
      <x:c r="J6" s="37" t="str">
        <x:v>Active</x:v>
      </x:c>
      <x:c r="K6" s="37" t="n">
        <x:v>82</x:v>
      </x:c>
      <x:c r="L6" s="37" t="str">
        <x:f>IF(K6="","",IF(K6&gt;=80,"Critical",IF(K6&gt;=60,"High",IF(K6&gt;=35,"Medium","Low"))))</x:f>
        <x:v>Critical</x:v>
      </x:c>
      <x:c r="M6" s="37" t="str">
        <x:f>IF(L6="","",IF(AND(OR(G6="Outsourced labor supplier",G6="Long-term service supplier"),H6&lt;&gt;"Valid 2026 certificate"),"Obtain valid MoHRE certificate before deployment or renewal",IF(OR(L6="Critical",L6="High"),"Prioritize in sample and validate remediation","Standard monitoring")))</x:f>
        <x:v>Prioritize in sample and validate remediation</x:v>
      </x:c>
    </x:row>
    <x:row r="7">
      <x:c r="A7" s="37" t="str">
        <x:v>Blue Harbor Logistics</x:v>
      </x:c>
      <x:c r="B7" s="37" t="str">
        <x:v>Logistics</x:v>
      </x:c>
      <x:c r="C7" s="53" t="n">
        <x:v>510000</x:v>
      </x:c>
      <x:c r="D7" s="37" t="str">
        <x:v>High</x:v>
      </x:c>
      <x:c r="E7" s="37" t="str">
        <x:v>Existing</x:v>
      </x:c>
      <x:c r="F7" s="37" t="str">
        <x:v>Yes</x:v>
      </x:c>
      <x:c r="G7" s="37" t="str">
        <x:v>Long-term service supplier</x:v>
      </x:c>
      <x:c r="H7" s="37" t="str">
        <x:v>Valid 2026 certificate</x:v>
      </x:c>
      <x:c r="I7" s="37" t="str">
        <x:v>Complete</x:v>
      </x:c>
      <x:c r="J7" s="37" t="str">
        <x:v>Active</x:v>
      </x:c>
      <x:c r="K7" s="37" t="n">
        <x:v>76</x:v>
      </x:c>
      <x:c r="L7" s="37" t="str">
        <x:f>IF(K7="","",IF(K7&gt;=80,"Critical",IF(K7&gt;=60,"High",IF(K7&gt;=35,"Medium","Low"))))</x:f>
        <x:v>High</x:v>
      </x:c>
      <x:c r="M7" s="37" t="str">
        <x:f>IF(L7="","",IF(AND(OR(G7="Outsourced labor supplier",G7="Long-term service supplier"),H7&lt;&gt;"Valid 2026 certificate"),"Obtain valid MoHRE certificate before deployment or renewal",IF(OR(L7="Critical",L7="High"),"Prioritize in sample and validate remediation","Standard monitoring")))</x:f>
        <x:v>Prioritize in sample and validate remediation</x:v>
      </x:c>
    </x:row>
    <x:row r="8">
      <x:c r="A8" s="37" t="str">
        <x:v>Prime Facilities LLC</x:v>
      </x:c>
      <x:c r="B8" s="37" t="str">
        <x:v>Facilities</x:v>
      </x:c>
      <x:c r="C8" s="53" t="n">
        <x:v>275000</x:v>
      </x:c>
      <x:c r="D8" s="37" t="str">
        <x:v>Medium</x:v>
      </x:c>
      <x:c r="E8" s="37" t="str">
        <x:v>Existing</x:v>
      </x:c>
      <x:c r="F8" s="37" t="str">
        <x:v>No</x:v>
      </x:c>
      <x:c r="G8" s="37" t="str">
        <x:v>Outsourced labor supplier</x:v>
      </x:c>
      <x:c r="H8" s="37" t="str">
        <x:v>Valid 2026 certificate</x:v>
      </x:c>
      <x:c r="I8" s="37" t="str">
        <x:v>Update Needed</x:v>
      </x:c>
      <x:c r="J8" s="37" t="str">
        <x:v>Active</x:v>
      </x:c>
      <x:c r="K8" s="37" t="n">
        <x:v>66</x:v>
      </x:c>
      <x:c r="L8" s="37" t="str">
        <x:f>IF(K8="","",IF(K8&gt;=80,"Critical",IF(K8&gt;=60,"High",IF(K8&gt;=35,"Medium","Low"))))</x:f>
        <x:v>High</x:v>
      </x:c>
      <x:c r="M8" s="37" t="str">
        <x:f>IF(L8="","",IF(AND(OR(G8="Outsourced labor supplier",G8="Long-term service supplier"),H8&lt;&gt;"Valid 2026 certificate"),"Obtain valid MoHRE certificate before deployment or renewal",IF(OR(L8="Critical",L8="High"),"Prioritize in sample and validate remediation","Standard monitoring")))</x:f>
        <x:v>Prioritize in sample and validate remediation</x:v>
      </x:c>
    </x:row>
    <x:row r="9">
      <x:c r="A9" s="37" t="str">
        <x:v>Atlas Equipment Rental</x:v>
      </x:c>
      <x:c r="B9" s="37" t="str">
        <x:v>Equipment rental</x:v>
      </x:c>
      <x:c r="C9" s="53" t="n">
        <x:v>315000</x:v>
      </x:c>
      <x:c r="D9" s="37" t="str">
        <x:v>High</x:v>
      </x:c>
      <x:c r="E9" s="37" t="str">
        <x:v>Existing</x:v>
      </x:c>
      <x:c r="F9" s="37" t="str">
        <x:v>Yes</x:v>
      </x:c>
      <x:c r="G9" s="37" t="str">
        <x:v>Not applicable</x:v>
      </x:c>
      <x:c r="H9" s="37" t="str">
        <x:v>N/A</x:v>
      </x:c>
      <x:c r="I9" s="37" t="str">
        <x:v>Complete</x:v>
      </x:c>
      <x:c r="J9" s="37" t="str">
        <x:v>Expired</x:v>
      </x:c>
      <x:c r="K9" s="37" t="n">
        <x:v>88</x:v>
      </x:c>
      <x:c r="L9" s="37" t="str">
        <x:f>IF(K9="","",IF(K9&gt;=80,"Critical",IF(K9&gt;=60,"High",IF(K9&gt;=35,"Medium","Low"))))</x:f>
        <x:v>Critical</x:v>
      </x:c>
      <x:c r="M9" s="37" t="str">
        <x:f>IF(L9="","",IF(AND(OR(G9="Outsourced labor supplier",G9="Long-term service supplier"),H9&lt;&gt;"Valid 2026 certificate"),"Obtain valid MoHRE certificate before deployment or renewal",IF(OR(L9="Critical",L9="High"),"Prioritize in sample and validate remediation","Standard monitoring")))</x:f>
        <x:v>Prioritize in sample and validate remediation</x:v>
      </x:c>
    </x:row>
    <x:row r="10">
      <x:c r="A10" s="37" t="str">
        <x:v>Desert Print House</x:v>
      </x:c>
      <x:c r="B10" s="37" t="str">
        <x:v>Print services</x:v>
      </x:c>
      <x:c r="C10" s="53" t="n">
        <x:v>42000</x:v>
      </x:c>
      <x:c r="D10" s="37" t="str">
        <x:v>Low</x:v>
      </x:c>
      <x:c r="E10" s="37" t="str">
        <x:v>Existing</x:v>
      </x:c>
      <x:c r="F10" s="37" t="str">
        <x:v>No</x:v>
      </x:c>
      <x:c r="G10" s="37" t="str">
        <x:v>Not applicable</x:v>
      </x:c>
      <x:c r="H10" s="37" t="str">
        <x:v>N/A</x:v>
      </x:c>
      <x:c r="I10" s="37" t="str">
        <x:v>Complete</x:v>
      </x:c>
      <x:c r="J10" s="37" t="str">
        <x:v>Active</x:v>
      </x:c>
      <x:c r="K10" s="37" t="n">
        <x:v>28</x:v>
      </x:c>
      <x:c r="L10" s="37" t="str">
        <x:f>IF(K10="","",IF(K10&gt;=80,"Critical",IF(K10&gt;=60,"High",IF(K10&gt;=35,"Medium","Low"))))</x:f>
        <x:v>Low</x:v>
      </x:c>
      <x:c r="M10" s="37" t="str">
        <x:f>IF(L10="","",IF(AND(OR(G10="Outsourced labor supplier",G10="Long-term service supplier"),H10&lt;&gt;"Valid 2026 certificate"),"Obtain valid MoHRE certificate before deployment or renewal",IF(OR(L10="Critical",L10="High"),"Prioritize in sample and validate remediation","Standard monitoring")))</x:f>
        <x:v>Standard monitoring</x:v>
      </x:c>
    </x:row>
    <x:row r="11">
      <x:c r="A11" s="37"/>
      <x:c r="B11" s="37"/>
      <x:c r="C11" s="53"/>
      <x:c r="D11" s="37"/>
      <x:c r="E11" s="37"/>
      <x:c r="F11" s="37"/>
      <x:c r="G11" s="37"/>
      <x:c r="H11" s="37"/>
      <x:c r="I11" s="37"/>
      <x:c r="J11" s="37"/>
      <x:c r="K11" s="37"/>
      <x:c r="L11" s="37" t="str">
        <x:f>IF(K11="","",IF(K11&gt;=80,"Critical",IF(K11&gt;=60,"High",IF(K11&gt;=35,"Medium","Low"))))</x:f>
      </x:c>
      <x:c r="M11" s="37" t="str">
        <x:f>IF(L11="","",IF(AND(OR(G11="Outsourced labor supplier",G11="Long-term service supplier"),H11&lt;&gt;"Valid 2026 certificate"),"Obtain valid MoHRE certificate before deployment or renewal",IF(OR(L11="Critical",L11="High"),"Prioritize in sample and validate remediation","Standard monitoring")))</x:f>
      </x:c>
    </x:row>
    <x:row r="12">
      <x:c r="A12" s="37"/>
      <x:c r="B12" s="37"/>
      <x:c r="C12" s="53"/>
      <x:c r="D12" s="37"/>
      <x:c r="E12" s="37"/>
      <x:c r="F12" s="37"/>
      <x:c r="G12" s="37"/>
      <x:c r="H12" s="37"/>
      <x:c r="I12" s="37"/>
      <x:c r="J12" s="37"/>
      <x:c r="K12" s="37"/>
      <x:c r="L12" s="37" t="str">
        <x:f>IF(K12="","",IF(K12&gt;=80,"Critical",IF(K12&gt;=60,"High",IF(K12&gt;=35,"Medium","Low"))))</x:f>
      </x:c>
      <x:c r="M12" s="37" t="str">
        <x:f>IF(L12="","",IF(AND(OR(G12="Outsourced labor supplier",G12="Long-term service supplier"),H12&lt;&gt;"Valid 2026 certificate"),"Obtain valid MoHRE certificate before deployment or renewal",IF(OR(L12="Critical",L12="High"),"Prioritize in sample and validate remediation","Standard monitoring")))</x:f>
      </x:c>
    </x:row>
    <x:row r="13">
      <x:c r="A13" s="37"/>
      <x:c r="B13" s="37"/>
      <x:c r="C13" s="53"/>
      <x:c r="D13" s="37"/>
      <x:c r="E13" s="37"/>
      <x:c r="F13" s="37"/>
      <x:c r="G13" s="37"/>
      <x:c r="H13" s="37"/>
      <x:c r="I13" s="37"/>
      <x:c r="J13" s="37"/>
      <x:c r="K13" s="37"/>
      <x:c r="L13" s="37" t="str">
        <x:f>IF(K13="","",IF(K13&gt;=80,"Critical",IF(K13&gt;=60,"High",IF(K13&gt;=35,"Medium","Low"))))</x:f>
      </x:c>
      <x:c r="M13" s="37" t="str">
        <x:f>IF(L13="","",IF(AND(OR(G13="Outsourced labor supplier",G13="Long-term service supplier"),H13&lt;&gt;"Valid 2026 certificate"),"Obtain valid MoHRE certificate before deployment or renewal",IF(OR(L13="Critical",L13="High"),"Prioritize in sample and validate remediation","Standard monitoring")))</x:f>
      </x:c>
    </x:row>
    <x:row r="14">
      <x:c r="A14" s="37"/>
      <x:c r="B14" s="37"/>
      <x:c r="C14" s="53"/>
      <x:c r="D14" s="37"/>
      <x:c r="E14" s="37"/>
      <x:c r="F14" s="37"/>
      <x:c r="G14" s="37"/>
      <x:c r="H14" s="37"/>
      <x:c r="I14" s="37"/>
      <x:c r="J14" s="37"/>
      <x:c r="K14" s="37"/>
      <x:c r="L14" s="37" t="str">
        <x:f>IF(K14="","",IF(K14&gt;=80,"Critical",IF(K14&gt;=60,"High",IF(K14&gt;=35,"Medium","Low"))))</x:f>
      </x:c>
      <x:c r="M14" s="37" t="str">
        <x:f>IF(L14="","",IF(AND(OR(G14="Outsourced labor supplier",G14="Long-term service supplier"),H14&lt;&gt;"Valid 2026 certificate"),"Obtain valid MoHRE certificate before deployment or renewal",IF(OR(L14="Critical",L14="High"),"Prioritize in sample and validate remediation","Standard monitoring")))</x:f>
      </x:c>
    </x:row>
    <x:row r="15">
      <x:c r="A15" s="37"/>
      <x:c r="B15" s="37"/>
      <x:c r="C15" s="53"/>
      <x:c r="D15" s="37"/>
      <x:c r="E15" s="37"/>
      <x:c r="F15" s="37"/>
      <x:c r="G15" s="37"/>
      <x:c r="H15" s="37"/>
      <x:c r="I15" s="37"/>
      <x:c r="J15" s="37"/>
      <x:c r="K15" s="37"/>
      <x:c r="L15" s="37" t="str">
        <x:f>IF(K15="","",IF(K15&gt;=80,"Critical",IF(K15&gt;=60,"High",IF(K15&gt;=35,"Medium","Low"))))</x:f>
      </x:c>
      <x:c r="M15" s="37" t="str">
        <x:f>IF(L15="","",IF(AND(OR(G15="Outsourced labor supplier",G15="Long-term service supplier"),H15&lt;&gt;"Valid 2026 certificate"),"Obtain valid MoHRE certificate before deployment or renewal",IF(OR(L15="Critical",L15="High"),"Prioritize in sample and validate remediation","Standard monitoring")))</x:f>
      </x:c>
    </x:row>
    <x:row r="16">
      <x:c r="A16" s="37"/>
      <x:c r="B16" s="37"/>
      <x:c r="C16" s="53"/>
      <x:c r="D16" s="37"/>
      <x:c r="E16" s="37"/>
      <x:c r="F16" s="37"/>
      <x:c r="G16" s="37"/>
      <x:c r="H16" s="37"/>
      <x:c r="I16" s="37"/>
      <x:c r="J16" s="37"/>
      <x:c r="K16" s="37"/>
      <x:c r="L16" s="37" t="str">
        <x:f>IF(K16="","",IF(K16&gt;=80,"Critical",IF(K16&gt;=60,"High",IF(K16&gt;=35,"Medium","Low"))))</x:f>
      </x:c>
      <x:c r="M16" s="37" t="str">
        <x:f>IF(L16="","",IF(AND(OR(G16="Outsourced labor supplier",G16="Long-term service supplier"),H16&lt;&gt;"Valid 2026 certificate"),"Obtain valid MoHRE certificate before deployment or renewal",IF(OR(L16="Critical",L16="High"),"Prioritize in sample and validate remediation","Standard monitoring")))</x:f>
      </x:c>
    </x:row>
    <x:row r="17">
      <x:c r="A17" s="37"/>
      <x:c r="B17" s="37"/>
      <x:c r="C17" s="53"/>
      <x:c r="D17" s="37"/>
      <x:c r="E17" s="37"/>
      <x:c r="F17" s="37"/>
      <x:c r="G17" s="37"/>
      <x:c r="H17" s="37"/>
      <x:c r="I17" s="37"/>
      <x:c r="J17" s="37"/>
      <x:c r="K17" s="37"/>
      <x:c r="L17" s="37" t="str">
        <x:f>IF(K17="","",IF(K17&gt;=80,"Critical",IF(K17&gt;=60,"High",IF(K17&gt;=35,"Medium","Low"))))</x:f>
      </x:c>
      <x:c r="M17" s="37" t="str">
        <x:f>IF(L17="","",IF(AND(OR(G17="Outsourced labor supplier",G17="Long-term service supplier"),H17&lt;&gt;"Valid 2026 certificate"),"Obtain valid MoHRE certificate before deployment or renewal",IF(OR(L17="Critical",L17="High"),"Prioritize in sample and validate remediation","Standard monitoring")))</x:f>
      </x:c>
    </x:row>
    <x:row r="18">
      <x:c r="A18" s="37"/>
      <x:c r="B18" s="37"/>
      <x:c r="C18" s="53"/>
      <x:c r="D18" s="37"/>
      <x:c r="E18" s="37"/>
      <x:c r="F18" s="37"/>
      <x:c r="G18" s="37"/>
      <x:c r="H18" s="37"/>
      <x:c r="I18" s="37"/>
      <x:c r="J18" s="37"/>
      <x:c r="K18" s="37"/>
      <x:c r="L18" s="37" t="str">
        <x:f>IF(K18="","",IF(K18&gt;=80,"Critical",IF(K18&gt;=60,"High",IF(K18&gt;=35,"Medium","Low"))))</x:f>
      </x:c>
      <x:c r="M18" s="37" t="str">
        <x:f>IF(L18="","",IF(AND(OR(G18="Outsourced labor supplier",G18="Long-term service supplier"),H18&lt;&gt;"Valid 2026 certificate"),"Obtain valid MoHRE certificate before deployment or renewal",IF(OR(L18="Critical",L18="High"),"Prioritize in sample and validate remediation","Standard monitoring")))</x:f>
      </x:c>
    </x:row>
    <x:row r="19">
      <x:c r="A19" s="37"/>
      <x:c r="B19" s="37"/>
      <x:c r="C19" s="53"/>
      <x:c r="D19" s="37"/>
      <x:c r="E19" s="37"/>
      <x:c r="F19" s="37"/>
      <x:c r="G19" s="37"/>
      <x:c r="H19" s="37"/>
      <x:c r="I19" s="37"/>
      <x:c r="J19" s="37"/>
      <x:c r="K19" s="37"/>
      <x:c r="L19" s="37" t="str">
        <x:f>IF(K19="","",IF(K19&gt;=80,"Critical",IF(K19&gt;=60,"High",IF(K19&gt;=35,"Medium","Low"))))</x:f>
      </x:c>
      <x:c r="M19" s="37" t="str">
        <x:f>IF(L19="","",IF(AND(OR(G19="Outsourced labor supplier",G19="Long-term service supplier"),H19&lt;&gt;"Valid 2026 certificate"),"Obtain valid MoHRE certificate before deployment or renewal",IF(OR(L19="Critical",L19="High"),"Prioritize in sample and validate remediation","Standard monitoring")))</x:f>
      </x:c>
    </x:row>
    <x:row r="20">
      <x:c r="A20" s="37"/>
      <x:c r="B20" s="37"/>
      <x:c r="C20" s="53"/>
      <x:c r="D20" s="37"/>
      <x:c r="E20" s="37"/>
      <x:c r="F20" s="37"/>
      <x:c r="G20" s="37"/>
      <x:c r="H20" s="37"/>
      <x:c r="I20" s="37"/>
      <x:c r="J20" s="37"/>
      <x:c r="K20" s="37"/>
      <x:c r="L20" s="37" t="str">
        <x:f>IF(K20="","",IF(K20&gt;=80,"Critical",IF(K20&gt;=60,"High",IF(K20&gt;=35,"Medium","Low"))))</x:f>
      </x:c>
      <x:c r="M20" s="37" t="str">
        <x:f>IF(L20="","",IF(AND(OR(G20="Outsourced labor supplier",G20="Long-term service supplier"),H20&lt;&gt;"Valid 2026 certificate"),"Obtain valid MoHRE certificate before deployment or renewal",IF(OR(L20="Critical",L20="High"),"Prioritize in sample and validate remediation","Standard monitoring")))</x:f>
      </x:c>
    </x:row>
    <x:row r="21">
      <x:c r="A21" s="37"/>
      <x:c r="B21" s="37"/>
      <x:c r="C21" s="53"/>
      <x:c r="D21" s="37"/>
      <x:c r="E21" s="37"/>
      <x:c r="F21" s="37"/>
      <x:c r="G21" s="37"/>
      <x:c r="H21" s="37"/>
      <x:c r="I21" s="37"/>
      <x:c r="J21" s="37"/>
      <x:c r="K21" s="37"/>
      <x:c r="L21" s="37" t="str">
        <x:f>IF(K21="","",IF(K21&gt;=80,"Critical",IF(K21&gt;=60,"High",IF(K21&gt;=35,"Medium","Low"))))</x:f>
      </x:c>
      <x:c r="M21" s="37" t="str">
        <x:f>IF(L21="","",IF(AND(OR(G21="Outsourced labor supplier",G21="Long-term service supplier"),H21&lt;&gt;"Valid 2026 certificate"),"Obtain valid MoHRE certificate before deployment or renewal",IF(OR(L21="Critical",L21="High"),"Prioritize in sample and validate remediation","Standard monitoring")))</x:f>
      </x:c>
    </x:row>
    <x:row r="22">
      <x:c r="A22" s="37"/>
      <x:c r="B22" s="37"/>
      <x:c r="C22" s="53"/>
      <x:c r="D22" s="37"/>
      <x:c r="E22" s="37"/>
      <x:c r="F22" s="37"/>
      <x:c r="G22" s="37"/>
      <x:c r="H22" s="37"/>
      <x:c r="I22" s="37"/>
      <x:c r="J22" s="37"/>
      <x:c r="K22" s="37"/>
      <x:c r="L22" s="37" t="str">
        <x:f>IF(K22="","",IF(K22&gt;=80,"Critical",IF(K22&gt;=60,"High",IF(K22&gt;=35,"Medium","Low"))))</x:f>
      </x:c>
      <x:c r="M22" s="37" t="str">
        <x:f>IF(L22="","",IF(AND(OR(G22="Outsourced labor supplier",G22="Long-term service supplier"),H22&lt;&gt;"Valid 2026 certificate"),"Obtain valid MoHRE certificate before deployment or renewal",IF(OR(L22="Critical",L22="High"),"Prioritize in sample and validate remediation","Standard monitoring")))</x:f>
      </x:c>
    </x:row>
    <x:row r="23">
      <x:c r="A23" s="37"/>
      <x:c r="B23" s="37"/>
      <x:c r="C23" s="53"/>
      <x:c r="D23" s="37"/>
      <x:c r="E23" s="37"/>
      <x:c r="F23" s="37"/>
      <x:c r="G23" s="37"/>
      <x:c r="H23" s="37"/>
      <x:c r="I23" s="37"/>
      <x:c r="J23" s="37"/>
      <x:c r="K23" s="37"/>
      <x:c r="L23" s="37" t="str">
        <x:f>IF(K23="","",IF(K23&gt;=80,"Critical",IF(K23&gt;=60,"High",IF(K23&gt;=35,"Medium","Low"))))</x:f>
      </x:c>
      <x:c r="M23" s="37" t="str">
        <x:f>IF(L23="","",IF(AND(OR(G23="Outsourced labor supplier",G23="Long-term service supplier"),H23&lt;&gt;"Valid 2026 certificate"),"Obtain valid MoHRE certificate before deployment or renewal",IF(OR(L23="Critical",L23="High"),"Prioritize in sample and validate remediation","Standard monitoring")))</x:f>
      </x:c>
    </x:row>
    <x:row r="24">
      <x:c r="A24" s="37"/>
      <x:c r="B24" s="37"/>
      <x:c r="C24" s="53"/>
      <x:c r="D24" s="37"/>
      <x:c r="E24" s="37"/>
      <x:c r="F24" s="37"/>
      <x:c r="G24" s="37"/>
      <x:c r="H24" s="37"/>
      <x:c r="I24" s="37"/>
      <x:c r="J24" s="37"/>
      <x:c r="K24" s="37"/>
      <x:c r="L24" s="37" t="str">
        <x:f>IF(K24="","",IF(K24&gt;=80,"Critical",IF(K24&gt;=60,"High",IF(K24&gt;=35,"Medium","Low"))))</x:f>
      </x:c>
      <x:c r="M24" s="37" t="str">
        <x:f>IF(L24="","",IF(AND(OR(G24="Outsourced labor supplier",G24="Long-term service supplier"),H24&lt;&gt;"Valid 2026 certificate"),"Obtain valid MoHRE certificate before deployment or renewal",IF(OR(L24="Critical",L24="High"),"Prioritize in sample and validate remediation","Standard monitoring")))</x:f>
      </x:c>
    </x:row>
    <x:row r="25">
      <x:c r="A25" s="37"/>
      <x:c r="B25" s="37"/>
      <x:c r="C25" s="53"/>
      <x:c r="D25" s="37"/>
      <x:c r="E25" s="37"/>
      <x:c r="F25" s="37"/>
      <x:c r="G25" s="37"/>
      <x:c r="H25" s="37"/>
      <x:c r="I25" s="37"/>
      <x:c r="J25" s="37"/>
      <x:c r="K25" s="37"/>
      <x:c r="L25" s="37" t="str">
        <x:f>IF(K25="","",IF(K25&gt;=80,"Critical",IF(K25&gt;=60,"High",IF(K25&gt;=35,"Medium","Low"))))</x:f>
      </x:c>
      <x:c r="M25" s="37" t="str">
        <x:f>IF(L25="","",IF(AND(OR(G25="Outsourced labor supplier",G25="Long-term service supplier"),H25&lt;&gt;"Valid 2026 certificate"),"Obtain valid MoHRE certificate before deployment or renewal",IF(OR(L25="Critical",L25="High"),"Prioritize in sample and validate remediation","Standard monitoring")))</x:f>
      </x:c>
    </x:row>
    <x:row r="26">
      <x:c r="A26" s="37"/>
      <x:c r="B26" s="37"/>
      <x:c r="C26" s="53"/>
      <x:c r="D26" s="37"/>
      <x:c r="E26" s="37"/>
      <x:c r="F26" s="37"/>
      <x:c r="G26" s="37"/>
      <x:c r="H26" s="37"/>
      <x:c r="I26" s="37"/>
      <x:c r="J26" s="37"/>
      <x:c r="K26" s="37"/>
      <x:c r="L26" s="37" t="str">
        <x:f>IF(K26="","",IF(K26&gt;=80,"Critical",IF(K26&gt;=60,"High",IF(K26&gt;=35,"Medium","Low"))))</x:f>
      </x:c>
      <x:c r="M26" s="37" t="str">
        <x:f>IF(L26="","",IF(AND(OR(G26="Outsourced labor supplier",G26="Long-term service supplier"),H26&lt;&gt;"Valid 2026 certificate"),"Obtain valid MoHRE certificate before deployment or renewal",IF(OR(L26="Critical",L26="High"),"Prioritize in sample and validate remediation","Standard monitoring")))</x:f>
      </x:c>
    </x:row>
    <x:row r="27">
      <x:c r="A27" s="37"/>
      <x:c r="B27" s="37"/>
      <x:c r="C27" s="53"/>
      <x:c r="D27" s="37"/>
      <x:c r="E27" s="37"/>
      <x:c r="F27" s="37"/>
      <x:c r="G27" s="37"/>
      <x:c r="H27" s="37"/>
      <x:c r="I27" s="37"/>
      <x:c r="J27" s="37"/>
      <x:c r="K27" s="37"/>
      <x:c r="L27" s="37" t="str">
        <x:f>IF(K27="","",IF(K27&gt;=80,"Critical",IF(K27&gt;=60,"High",IF(K27&gt;=35,"Medium","Low"))))</x:f>
      </x:c>
      <x:c r="M27" s="37" t="str">
        <x:f>IF(L27="","",IF(AND(OR(G27="Outsourced labor supplier",G27="Long-term service supplier"),H27&lt;&gt;"Valid 2026 certificate"),"Obtain valid MoHRE certificate before deployment or renewal",IF(OR(L27="Critical",L27="High"),"Prioritize in sample and validate remediation","Standard monitoring")))</x:f>
      </x:c>
    </x:row>
    <x:row r="28">
      <x:c r="A28" s="37"/>
      <x:c r="B28" s="37"/>
      <x:c r="C28" s="53"/>
      <x:c r="D28" s="37"/>
      <x:c r="E28" s="37"/>
      <x:c r="F28" s="37"/>
      <x:c r="G28" s="37"/>
      <x:c r="H28" s="37"/>
      <x:c r="I28" s="37"/>
      <x:c r="J28" s="37"/>
      <x:c r="K28" s="37"/>
      <x:c r="L28" s="37" t="str">
        <x:f>IF(K28="","",IF(K28&gt;=80,"Critical",IF(K28&gt;=60,"High",IF(K28&gt;=35,"Medium","Low"))))</x:f>
      </x:c>
      <x:c r="M28" s="37" t="str">
        <x:f>IF(L28="","",IF(AND(OR(G28="Outsourced labor supplier",G28="Long-term service supplier"),H28&lt;&gt;"Valid 2026 certificate"),"Obtain valid MoHRE certificate before deployment or renewal",IF(OR(L28="Critical",L28="High"),"Prioritize in sample and validate remediation","Standard monitoring")))</x:f>
      </x:c>
    </x:row>
    <x:row r="29">
      <x:c r="A29" s="37"/>
      <x:c r="B29" s="37"/>
      <x:c r="C29" s="53"/>
      <x:c r="D29" s="37"/>
      <x:c r="E29" s="37"/>
      <x:c r="F29" s="37"/>
      <x:c r="G29" s="37"/>
      <x:c r="H29" s="37"/>
      <x:c r="I29" s="37"/>
      <x:c r="J29" s="37"/>
      <x:c r="K29" s="37"/>
      <x:c r="L29" s="37" t="str">
        <x:f>IF(K29="","",IF(K29&gt;=80,"Critical",IF(K29&gt;=60,"High",IF(K29&gt;=35,"Medium","Low"))))</x:f>
      </x:c>
      <x:c r="M29" s="37" t="str">
        <x:f>IF(L29="","",IF(AND(OR(G29="Outsourced labor supplier",G29="Long-term service supplier"),H29&lt;&gt;"Valid 2026 certificate"),"Obtain valid MoHRE certificate before deployment or renewal",IF(OR(L29="Critical",L29="High"),"Prioritize in sample and validate remediation","Standard monitoring")))</x:f>
      </x:c>
    </x:row>
    <x:row r="30">
      <x:c r="A30" s="37"/>
      <x:c r="B30" s="37"/>
      <x:c r="C30" s="53"/>
      <x:c r="D30" s="37"/>
      <x:c r="E30" s="37"/>
      <x:c r="F30" s="37"/>
      <x:c r="G30" s="37"/>
      <x:c r="H30" s="37"/>
      <x:c r="I30" s="37"/>
      <x:c r="J30" s="37"/>
      <x:c r="K30" s="37"/>
      <x:c r="L30" s="37" t="str">
        <x:f>IF(K30="","",IF(K30&gt;=80,"Critical",IF(K30&gt;=60,"High",IF(K30&gt;=35,"Medium","Low"))))</x:f>
      </x:c>
      <x:c r="M30" s="37" t="str">
        <x:f>IF(L30="","",IF(AND(OR(G30="Outsourced labor supplier",G30="Long-term service supplier"),H30&lt;&gt;"Valid 2026 certificate"),"Obtain valid MoHRE certificate before deployment or renewal",IF(OR(L30="Critical",L30="High"),"Prioritize in sample and validate remediation","Standard monitoring")))</x:f>
      </x:c>
    </x:row>
    <x:row r="31">
      <x:c r="A31" s="37"/>
      <x:c r="B31" s="37"/>
      <x:c r="C31" s="53"/>
      <x:c r="D31" s="37"/>
      <x:c r="E31" s="37"/>
      <x:c r="F31" s="37"/>
      <x:c r="G31" s="37"/>
      <x:c r="H31" s="37"/>
      <x:c r="I31" s="37"/>
      <x:c r="J31" s="37"/>
      <x:c r="K31" s="37"/>
      <x:c r="L31" s="37" t="str">
        <x:f>IF(K31="","",IF(K31&gt;=80,"Critical",IF(K31&gt;=60,"High",IF(K31&gt;=35,"Medium","Low"))))</x:f>
      </x:c>
      <x:c r="M31" s="37" t="str">
        <x:f>IF(L31="","",IF(AND(OR(G31="Outsourced labor supplier",G31="Long-term service supplier"),H31&lt;&gt;"Valid 2026 certificate"),"Obtain valid MoHRE certificate before deployment or renewal",IF(OR(L31="Critical",L31="High"),"Prioritize in sample and validate remediation","Standard monitoring")))</x:f>
      </x:c>
    </x:row>
    <x:row r="32">
      <x:c r="A32" s="37"/>
      <x:c r="B32" s="37"/>
      <x:c r="C32" s="53"/>
      <x:c r="D32" s="37"/>
      <x:c r="E32" s="37"/>
      <x:c r="F32" s="37"/>
      <x:c r="G32" s="37"/>
      <x:c r="H32" s="37"/>
      <x:c r="I32" s="37"/>
      <x:c r="J32" s="37"/>
      <x:c r="K32" s="37"/>
      <x:c r="L32" s="37" t="str">
        <x:f>IF(K32="","",IF(K32&gt;=80,"Critical",IF(K32&gt;=60,"High",IF(K32&gt;=35,"Medium","Low"))))</x:f>
      </x:c>
      <x:c r="M32" s="37" t="str">
        <x:f>IF(L32="","",IF(AND(OR(G32="Outsourced labor supplier",G32="Long-term service supplier"),H32&lt;&gt;"Valid 2026 certificate"),"Obtain valid MoHRE certificate before deployment or renewal",IF(OR(L32="Critical",L32="High"),"Prioritize in sample and validate remediation","Standard monitoring")))</x:f>
      </x:c>
    </x:row>
    <x:row r="33">
      <x:c r="A33" s="37"/>
      <x:c r="B33" s="37"/>
      <x:c r="C33" s="53"/>
      <x:c r="D33" s="37"/>
      <x:c r="E33" s="37"/>
      <x:c r="F33" s="37"/>
      <x:c r="G33" s="37"/>
      <x:c r="H33" s="37"/>
      <x:c r="I33" s="37"/>
      <x:c r="J33" s="37"/>
      <x:c r="K33" s="37"/>
      <x:c r="L33" s="37" t="str">
        <x:f>IF(K33="","",IF(K33&gt;=80,"Critical",IF(K33&gt;=60,"High",IF(K33&gt;=35,"Medium","Low"))))</x:f>
      </x:c>
      <x:c r="M33" s="37" t="str">
        <x:f>IF(L33="","",IF(AND(OR(G33="Outsourced labor supplier",G33="Long-term service supplier"),H33&lt;&gt;"Valid 2026 certificate"),"Obtain valid MoHRE certificate before deployment or renewal",IF(OR(L33="Critical",L33="High"),"Prioritize in sample and validate remediation","Standard monitoring")))</x:f>
      </x:c>
    </x:row>
    <x:row r="34">
      <x:c r="A34" s="37"/>
      <x:c r="B34" s="37"/>
      <x:c r="C34" s="53"/>
      <x:c r="D34" s="37"/>
      <x:c r="E34" s="37"/>
      <x:c r="F34" s="37"/>
      <x:c r="G34" s="37"/>
      <x:c r="H34" s="37"/>
      <x:c r="I34" s="37"/>
      <x:c r="J34" s="37"/>
      <x:c r="K34" s="37"/>
      <x:c r="L34" s="37" t="str">
        <x:f>IF(K34="","",IF(K34&gt;=80,"Critical",IF(K34&gt;=60,"High",IF(K34&gt;=35,"Medium","Low"))))</x:f>
      </x:c>
      <x:c r="M34" s="37" t="str">
        <x:f>IF(L34="","",IF(AND(OR(G34="Outsourced labor supplier",G34="Long-term service supplier"),H34&lt;&gt;"Valid 2026 certificate"),"Obtain valid MoHRE certificate before deployment or renewal",IF(OR(L34="Critical",L34="High"),"Prioritize in sample and validate remediation","Standard monitoring")))</x:f>
      </x:c>
    </x:row>
    <x:row r="35">
      <x:c r="A35" s="37"/>
      <x:c r="B35" s="37"/>
      <x:c r="C35" s="53"/>
      <x:c r="D35" s="37"/>
      <x:c r="E35" s="37"/>
      <x:c r="F35" s="37"/>
      <x:c r="G35" s="37"/>
      <x:c r="H35" s="37"/>
      <x:c r="I35" s="37"/>
      <x:c r="J35" s="37"/>
      <x:c r="K35" s="37"/>
      <x:c r="L35" s="37" t="str">
        <x:f>IF(K35="","",IF(K35&gt;=80,"Critical",IF(K35&gt;=60,"High",IF(K35&gt;=35,"Medium","Low"))))</x:f>
      </x:c>
      <x:c r="M35" s="37" t="str">
        <x:f>IF(L35="","",IF(AND(OR(G35="Outsourced labor supplier",G35="Long-term service supplier"),H35&lt;&gt;"Valid 2026 certificate"),"Obtain valid MoHRE certificate before deployment or renewal",IF(OR(L35="Critical",L35="High"),"Prioritize in sample and validate remediation","Standard monitoring")))</x:f>
      </x:c>
    </x:row>
    <x:row r="36">
      <x:c r="A36" s="37"/>
      <x:c r="B36" s="37"/>
      <x:c r="C36" s="53"/>
      <x:c r="D36" s="37"/>
      <x:c r="E36" s="37"/>
      <x:c r="F36" s="37"/>
      <x:c r="G36" s="37"/>
      <x:c r="H36" s="37"/>
      <x:c r="I36" s="37"/>
      <x:c r="J36" s="37"/>
      <x:c r="K36" s="37"/>
      <x:c r="L36" s="37" t="str">
        <x:f>IF(K36="","",IF(K36&gt;=80,"Critical",IF(K36&gt;=60,"High",IF(K36&gt;=35,"Medium","Low"))))</x:f>
      </x:c>
      <x:c r="M36" s="37" t="str">
        <x:f>IF(L36="","",IF(AND(OR(G36="Outsourced labor supplier",G36="Long-term service supplier"),H36&lt;&gt;"Valid 2026 certificate"),"Obtain valid MoHRE certificate before deployment or renewal",IF(OR(L36="Critical",L36="High"),"Prioritize in sample and validate remediation","Standard monitoring")))</x:f>
      </x:c>
    </x:row>
    <x:row r="37">
      <x:c r="A37" s="37"/>
      <x:c r="B37" s="37"/>
      <x:c r="C37" s="53"/>
      <x:c r="D37" s="37"/>
      <x:c r="E37" s="37"/>
      <x:c r="F37" s="37"/>
      <x:c r="G37" s="37"/>
      <x:c r="H37" s="37"/>
      <x:c r="I37" s="37"/>
      <x:c r="J37" s="37"/>
      <x:c r="K37" s="37"/>
      <x:c r="L37" s="37" t="str">
        <x:f>IF(K37="","",IF(K37&gt;=80,"Critical",IF(K37&gt;=60,"High",IF(K37&gt;=35,"Medium","Low"))))</x:f>
      </x:c>
      <x:c r="M37" s="37" t="str">
        <x:f>IF(L37="","",IF(AND(OR(G37="Outsourced labor supplier",G37="Long-term service supplier"),H37&lt;&gt;"Valid 2026 certificate"),"Obtain valid MoHRE certificate before deployment or renewal",IF(OR(L37="Critical",L37="High"),"Prioritize in sample and validate remediation","Standard monitoring")))</x:f>
      </x:c>
    </x:row>
    <x:row r="38">
      <x:c r="A38" s="37"/>
      <x:c r="B38" s="37"/>
      <x:c r="C38" s="53"/>
      <x:c r="D38" s="37"/>
      <x:c r="E38" s="37"/>
      <x:c r="F38" s="37"/>
      <x:c r="G38" s="37"/>
      <x:c r="H38" s="37"/>
      <x:c r="I38" s="37"/>
      <x:c r="J38" s="37"/>
      <x:c r="K38" s="37"/>
      <x:c r="L38" s="37" t="str">
        <x:f>IF(K38="","",IF(K38&gt;=80,"Critical",IF(K38&gt;=60,"High",IF(K38&gt;=35,"Medium","Low"))))</x:f>
      </x:c>
      <x:c r="M38" s="37" t="str">
        <x:f>IF(L38="","",IF(AND(OR(G38="Outsourced labor supplier",G38="Long-term service supplier"),H38&lt;&gt;"Valid 2026 certificate"),"Obtain valid MoHRE certificate before deployment or renewal",IF(OR(L38="Critical",L38="High"),"Prioritize in sample and validate remediation","Standard monitoring")))</x:f>
      </x:c>
    </x:row>
    <x:row r="39">
      <x:c r="A39" s="37"/>
      <x:c r="B39" s="37"/>
      <x:c r="C39" s="53"/>
      <x:c r="D39" s="37"/>
      <x:c r="E39" s="37"/>
      <x:c r="F39" s="37"/>
      <x:c r="G39" s="37"/>
      <x:c r="H39" s="37"/>
      <x:c r="I39" s="37"/>
      <x:c r="J39" s="37"/>
      <x:c r="K39" s="37"/>
      <x:c r="L39" s="37" t="str">
        <x:f>IF(K39="","",IF(K39&gt;=80,"Critical",IF(K39&gt;=60,"High",IF(K39&gt;=35,"Medium","Low"))))</x:f>
      </x:c>
      <x:c r="M39" s="37" t="str">
        <x:f>IF(L39="","",IF(AND(OR(G39="Outsourced labor supplier",G39="Long-term service supplier"),H39&lt;&gt;"Valid 2026 certificate"),"Obtain valid MoHRE certificate before deployment or renewal",IF(OR(L39="Critical",L39="High"),"Prioritize in sample and validate remediation","Standard monitoring")))</x:f>
      </x:c>
    </x:row>
    <x:row r="40">
      <x:c r="A40" s="37"/>
      <x:c r="B40" s="37"/>
      <x:c r="C40" s="53"/>
      <x:c r="D40" s="37"/>
      <x:c r="E40" s="37"/>
      <x:c r="F40" s="37"/>
      <x:c r="G40" s="37"/>
      <x:c r="H40" s="37"/>
      <x:c r="I40" s="37"/>
      <x:c r="J40" s="37"/>
      <x:c r="K40" s="37"/>
      <x:c r="L40" s="37" t="str">
        <x:f>IF(K40="","",IF(K40&gt;=80,"Critical",IF(K40&gt;=60,"High",IF(K40&gt;=35,"Medium","Low"))))</x:f>
      </x:c>
      <x:c r="M40" s="37" t="str">
        <x:f>IF(L40="","",IF(AND(OR(G40="Outsourced labor supplier",G40="Long-term service supplier"),H40&lt;&gt;"Valid 2026 certificate"),"Obtain valid MoHRE certificate before deployment or renewal",IF(OR(L40="Critical",L40="High"),"Prioritize in sample and validate remediation","Standard monitoring")))</x:f>
      </x:c>
    </x:row>
    <x:row r="41">
      <x:c r="A41" s="37"/>
      <x:c r="B41" s="37"/>
      <x:c r="C41" s="53"/>
      <x:c r="D41" s="37"/>
      <x:c r="E41" s="37"/>
      <x:c r="F41" s="37"/>
      <x:c r="G41" s="37"/>
      <x:c r="H41" s="37"/>
      <x:c r="I41" s="37"/>
      <x:c r="J41" s="37"/>
      <x:c r="K41" s="37"/>
      <x:c r="L41" s="37" t="str">
        <x:f>IF(K41="","",IF(K41&gt;=80,"Critical",IF(K41&gt;=60,"High",IF(K41&gt;=35,"Medium","Low"))))</x:f>
      </x:c>
      <x:c r="M41" s="37" t="str">
        <x:f>IF(L41="","",IF(AND(OR(G41="Outsourced labor supplier",G41="Long-term service supplier"),H41&lt;&gt;"Valid 2026 certificate"),"Obtain valid MoHRE certificate before deployment or renewal",IF(OR(L41="Critical",L41="High"),"Prioritize in sample and validate remediation","Standard monitoring")))</x:f>
      </x:c>
    </x:row>
    <x:row r="42">
      <x:c r="A42" s="37"/>
      <x:c r="B42" s="37"/>
      <x:c r="C42" s="53"/>
      <x:c r="D42" s="37"/>
      <x:c r="E42" s="37"/>
      <x:c r="F42" s="37"/>
      <x:c r="G42" s="37"/>
      <x:c r="H42" s="37"/>
      <x:c r="I42" s="37"/>
      <x:c r="J42" s="37"/>
      <x:c r="K42" s="37"/>
      <x:c r="L42" s="37" t="str">
        <x:f>IF(K42="","",IF(K42&gt;=80,"Critical",IF(K42&gt;=60,"High",IF(K42&gt;=35,"Medium","Low"))))</x:f>
      </x:c>
      <x:c r="M42" s="37" t="str">
        <x:f>IF(L42="","",IF(AND(OR(G42="Outsourced labor supplier",G42="Long-term service supplier"),H42&lt;&gt;"Valid 2026 certificate"),"Obtain valid MoHRE certificate before deployment or renewal",IF(OR(L42="Critical",L42="High"),"Prioritize in sample and validate remediation","Standard monitoring")))</x:f>
      </x:c>
    </x:row>
    <x:row r="43">
      <x:c r="A43" s="37"/>
      <x:c r="B43" s="37"/>
      <x:c r="C43" s="53"/>
      <x:c r="D43" s="37"/>
      <x:c r="E43" s="37"/>
      <x:c r="F43" s="37"/>
      <x:c r="G43" s="37"/>
      <x:c r="H43" s="37"/>
      <x:c r="I43" s="37"/>
      <x:c r="J43" s="37"/>
      <x:c r="K43" s="37"/>
      <x:c r="L43" s="37" t="str">
        <x:f>IF(K43="","",IF(K43&gt;=80,"Critical",IF(K43&gt;=60,"High",IF(K43&gt;=35,"Medium","Low"))))</x:f>
      </x:c>
      <x:c r="M43" s="37" t="str">
        <x:f>IF(L43="","",IF(AND(OR(G43="Outsourced labor supplier",G43="Long-term service supplier"),H43&lt;&gt;"Valid 2026 certificate"),"Obtain valid MoHRE certificate before deployment or renewal",IF(OR(L43="Critical",L43="High"),"Prioritize in sample and validate remediation","Standard monitoring")))</x:f>
      </x:c>
    </x:row>
    <x:row r="44">
      <x:c r="A44" s="37"/>
      <x:c r="B44" s="37"/>
      <x:c r="C44" s="53"/>
      <x:c r="D44" s="37"/>
      <x:c r="E44" s="37"/>
      <x:c r="F44" s="37"/>
      <x:c r="G44" s="37"/>
      <x:c r="H44" s="37"/>
      <x:c r="I44" s="37"/>
      <x:c r="J44" s="37"/>
      <x:c r="K44" s="37"/>
      <x:c r="L44" s="37" t="str">
        <x:f>IF(K44="","",IF(K44&gt;=80,"Critical",IF(K44&gt;=60,"High",IF(K44&gt;=35,"Medium","Low"))))</x:f>
      </x:c>
      <x:c r="M44" s="37" t="str">
        <x:f>IF(L44="","",IF(AND(OR(G44="Outsourced labor supplier",G44="Long-term service supplier"),H44&lt;&gt;"Valid 2026 certificate"),"Obtain valid MoHRE certificate before deployment or renewal",IF(OR(L44="Critical",L44="High"),"Prioritize in sample and validate remediation","Standard monitoring")))</x:f>
      </x:c>
    </x:row>
    <x:row r="45">
      <x:c r="A45" s="37"/>
      <x:c r="B45" s="37"/>
      <x:c r="C45" s="53"/>
      <x:c r="D45" s="37"/>
      <x:c r="E45" s="37"/>
      <x:c r="F45" s="37"/>
      <x:c r="G45" s="37"/>
      <x:c r="H45" s="37"/>
      <x:c r="I45" s="37"/>
      <x:c r="J45" s="37"/>
      <x:c r="K45" s="37"/>
      <x:c r="L45" s="37" t="str">
        <x:f>IF(K45="","",IF(K45&gt;=80,"Critical",IF(K45&gt;=60,"High",IF(K45&gt;=35,"Medium","Low"))))</x:f>
      </x:c>
      <x:c r="M45" s="37" t="str">
        <x:f>IF(L45="","",IF(AND(OR(G45="Outsourced labor supplier",G45="Long-term service supplier"),H45&lt;&gt;"Valid 2026 certificate"),"Obtain valid MoHRE certificate before deployment or renewal",IF(OR(L45="Critical",L45="High"),"Prioritize in sample and validate remediation","Standard monitoring")))</x:f>
      </x:c>
    </x:row>
    <x:row r="46">
      <x:c r="A46" s="37"/>
      <x:c r="B46" s="37"/>
      <x:c r="C46" s="53"/>
      <x:c r="D46" s="37"/>
      <x:c r="E46" s="37"/>
      <x:c r="F46" s="37"/>
      <x:c r="G46" s="37"/>
      <x:c r="H46" s="37"/>
      <x:c r="I46" s="37"/>
      <x:c r="J46" s="37"/>
      <x:c r="K46" s="37"/>
      <x:c r="L46" s="37" t="str">
        <x:f>IF(K46="","",IF(K46&gt;=80,"Critical",IF(K46&gt;=60,"High",IF(K46&gt;=35,"Medium","Low"))))</x:f>
      </x:c>
      <x:c r="M46" s="37" t="str">
        <x:f>IF(L46="","",IF(AND(OR(G46="Outsourced labor supplier",G46="Long-term service supplier"),H46&lt;&gt;"Valid 2026 certificate"),"Obtain valid MoHRE certificate before deployment or renewal",IF(OR(L46="Critical",L46="High"),"Prioritize in sample and validate remediation","Standard monitoring")))</x:f>
      </x:c>
    </x:row>
    <x:row r="47">
      <x:c r="A47" s="37"/>
      <x:c r="B47" s="37"/>
      <x:c r="C47" s="53"/>
      <x:c r="D47" s="37"/>
      <x:c r="E47" s="37"/>
      <x:c r="F47" s="37"/>
      <x:c r="G47" s="37"/>
      <x:c r="H47" s="37"/>
      <x:c r="I47" s="37"/>
      <x:c r="J47" s="37"/>
      <x:c r="K47" s="37"/>
      <x:c r="L47" s="37" t="str">
        <x:f>IF(K47="","",IF(K47&gt;=80,"Critical",IF(K47&gt;=60,"High",IF(K47&gt;=35,"Medium","Low"))))</x:f>
      </x:c>
      <x:c r="M47" s="37" t="str">
        <x:f>IF(L47="","",IF(AND(OR(G47="Outsourced labor supplier",G47="Long-term service supplier"),H47&lt;&gt;"Valid 2026 certificate"),"Obtain valid MoHRE certificate before deployment or renewal",IF(OR(L47="Critical",L47="High"),"Prioritize in sample and validate remediation","Standard monitoring")))</x:f>
      </x:c>
    </x:row>
    <x:row r="48">
      <x:c r="A48" s="37"/>
      <x:c r="B48" s="37"/>
      <x:c r="C48" s="53"/>
      <x:c r="D48" s="37"/>
      <x:c r="E48" s="37"/>
      <x:c r="F48" s="37"/>
      <x:c r="G48" s="37"/>
      <x:c r="H48" s="37"/>
      <x:c r="I48" s="37"/>
      <x:c r="J48" s="37"/>
      <x:c r="K48" s="37"/>
      <x:c r="L48" s="37" t="str">
        <x:f>IF(K48="","",IF(K48&gt;=80,"Critical",IF(K48&gt;=60,"High",IF(K48&gt;=35,"Medium","Low"))))</x:f>
      </x:c>
      <x:c r="M48" s="37" t="str">
        <x:f>IF(L48="","",IF(AND(OR(G48="Outsourced labor supplier",G48="Long-term service supplier"),H48&lt;&gt;"Valid 2026 certificate"),"Obtain valid MoHRE certificate before deployment or renewal",IF(OR(L48="Critical",L48="High"),"Prioritize in sample and validate remediation","Standard monitoring")))</x:f>
      </x:c>
    </x:row>
    <x:row r="49">
      <x:c r="A49" s="37"/>
      <x:c r="B49" s="37"/>
      <x:c r="C49" s="53"/>
      <x:c r="D49" s="37"/>
      <x:c r="E49" s="37"/>
      <x:c r="F49" s="37"/>
      <x:c r="G49" s="37"/>
      <x:c r="H49" s="37"/>
      <x:c r="I49" s="37"/>
      <x:c r="J49" s="37"/>
      <x:c r="K49" s="37"/>
      <x:c r="L49" s="37" t="str">
        <x:f>IF(K49="","",IF(K49&gt;=80,"Critical",IF(K49&gt;=60,"High",IF(K49&gt;=35,"Medium","Low"))))</x:f>
      </x:c>
      <x:c r="M49" s="37" t="str">
        <x:f>IF(L49="","",IF(AND(OR(G49="Outsourced labor supplier",G49="Long-term service supplier"),H49&lt;&gt;"Valid 2026 certificate"),"Obtain valid MoHRE certificate before deployment or renewal",IF(OR(L49="Critical",L49="High"),"Prioritize in sample and validate remediation","Standard monitoring")))</x:f>
      </x:c>
    </x:row>
    <x:row r="50">
      <x:c r="A50" s="37"/>
      <x:c r="B50" s="37"/>
      <x:c r="C50" s="53"/>
      <x:c r="D50" s="37"/>
      <x:c r="E50" s="37"/>
      <x:c r="F50" s="37"/>
      <x:c r="G50" s="37"/>
      <x:c r="H50" s="37"/>
      <x:c r="I50" s="37"/>
      <x:c r="J50" s="37"/>
      <x:c r="K50" s="37"/>
      <x:c r="L50" s="37" t="str">
        <x:f>IF(K50="","",IF(K50&gt;=80,"Critical",IF(K50&gt;=60,"High",IF(K50&gt;=35,"Medium","Low"))))</x:f>
      </x:c>
      <x:c r="M50" s="37" t="str">
        <x:f>IF(L50="","",IF(AND(OR(G50="Outsourced labor supplier",G50="Long-term service supplier"),H50&lt;&gt;"Valid 2026 certificate"),"Obtain valid MoHRE certificate before deployment or renewal",IF(OR(L50="Critical",L50="High"),"Prioritize in sample and validate remediation","Standard monitoring")))</x:f>
      </x:c>
    </x:row>
    <x:row r="51">
      <x:c r="A51" s="37"/>
      <x:c r="B51" s="37"/>
      <x:c r="C51" s="53"/>
      <x:c r="D51" s="37"/>
      <x:c r="E51" s="37"/>
      <x:c r="F51" s="37"/>
      <x:c r="G51" s="37"/>
      <x:c r="H51" s="37"/>
      <x:c r="I51" s="37"/>
      <x:c r="J51" s="37"/>
      <x:c r="K51" s="37"/>
      <x:c r="L51" s="37" t="str">
        <x:f>IF(K51="","",IF(K51&gt;=80,"Critical",IF(K51&gt;=60,"High",IF(K51&gt;=35,"Medium","Low"))))</x:f>
      </x:c>
      <x:c r="M51" s="37" t="str">
        <x:f>IF(L51="","",IF(AND(OR(G51="Outsourced labor supplier",G51="Long-term service supplier"),H51&lt;&gt;"Valid 2026 certificate"),"Obtain valid MoHRE certificate before deployment or renewal",IF(OR(L51="Critical",L51="High"),"Prioritize in sample and validate remediation","Standard monitoring")))</x:f>
      </x:c>
    </x:row>
    <x:row r="52">
      <x:c r="A52" s="37"/>
      <x:c r="B52" s="37"/>
      <x:c r="C52" s="53"/>
      <x:c r="D52" s="37"/>
      <x:c r="E52" s="37"/>
      <x:c r="F52" s="37"/>
      <x:c r="G52" s="37"/>
      <x:c r="H52" s="37"/>
      <x:c r="I52" s="37"/>
      <x:c r="J52" s="37"/>
      <x:c r="K52" s="37"/>
      <x:c r="L52" s="37" t="str">
        <x:f>IF(K52="","",IF(K52&gt;=80,"Critical",IF(K52&gt;=60,"High",IF(K52&gt;=35,"Medium","Low"))))</x:f>
      </x:c>
      <x:c r="M52" s="37" t="str">
        <x:f>IF(L52="","",IF(AND(OR(G52="Outsourced labor supplier",G52="Long-term service supplier"),H52&lt;&gt;"Valid 2026 certificate"),"Obtain valid MoHRE certificate before deployment or renewal",IF(OR(L52="Critical",L52="High"),"Prioritize in sample and validate remediation","Standard monitoring")))</x:f>
      </x:c>
    </x:row>
    <x:row r="53">
      <x:c r="A53" s="37"/>
      <x:c r="B53" s="37"/>
      <x:c r="C53" s="53"/>
      <x:c r="D53" s="37"/>
      <x:c r="E53" s="37"/>
      <x:c r="F53" s="37"/>
      <x:c r="G53" s="37"/>
      <x:c r="H53" s="37"/>
      <x:c r="I53" s="37"/>
      <x:c r="J53" s="37"/>
      <x:c r="K53" s="37"/>
      <x:c r="L53" s="37" t="str">
        <x:f>IF(K53="","",IF(K53&gt;=80,"Critical",IF(K53&gt;=60,"High",IF(K53&gt;=35,"Medium","Low"))))</x:f>
      </x:c>
      <x:c r="M53" s="37" t="str">
        <x:f>IF(L53="","",IF(AND(OR(G53="Outsourced labor supplier",G53="Long-term service supplier"),H53&lt;&gt;"Valid 2026 certificate"),"Obtain valid MoHRE certificate before deployment or renewal",IF(OR(L53="Critical",L53="High"),"Prioritize in sample and validate remediation","Standard monitoring")))</x:f>
      </x:c>
    </x:row>
    <x:row r="54">
      <x:c r="A54" s="37"/>
      <x:c r="B54" s="37"/>
      <x:c r="C54" s="53"/>
      <x:c r="D54" s="37"/>
      <x:c r="E54" s="37"/>
      <x:c r="F54" s="37"/>
      <x:c r="G54" s="37"/>
      <x:c r="H54" s="37"/>
      <x:c r="I54" s="37"/>
      <x:c r="J54" s="37"/>
      <x:c r="K54" s="37"/>
      <x:c r="L54" s="37" t="str">
        <x:f>IF(K54="","",IF(K54&gt;=80,"Critical",IF(K54&gt;=60,"High",IF(K54&gt;=35,"Medium","Low"))))</x:f>
      </x:c>
      <x:c r="M54" s="37" t="str">
        <x:f>IF(L54="","",IF(AND(OR(G54="Outsourced labor supplier",G54="Long-term service supplier"),H54&lt;&gt;"Valid 2026 certificate"),"Obtain valid MoHRE certificate before deployment or renewal",IF(OR(L54="Critical",L54="High"),"Prioritize in sample and validate remediation","Standard monitoring")))</x:f>
      </x:c>
    </x:row>
    <x:row r="55">
      <x:c r="A55" s="37"/>
      <x:c r="B55" s="37"/>
      <x:c r="C55" s="53"/>
      <x:c r="D55" s="37"/>
      <x:c r="E55" s="37"/>
      <x:c r="F55" s="37"/>
      <x:c r="G55" s="37"/>
      <x:c r="H55" s="37"/>
      <x:c r="I55" s="37"/>
      <x:c r="J55" s="37"/>
      <x:c r="K55" s="37"/>
      <x:c r="L55" s="37" t="str">
        <x:f>IF(K55="","",IF(K55&gt;=80,"Critical",IF(K55&gt;=60,"High",IF(K55&gt;=35,"Medium","Low"))))</x:f>
      </x:c>
      <x:c r="M55" s="37" t="str">
        <x:f>IF(L55="","",IF(AND(OR(G55="Outsourced labor supplier",G55="Long-term service supplier"),H55&lt;&gt;"Valid 2026 certificate"),"Obtain valid MoHRE certificate before deployment or renewal",IF(OR(L55="Critical",L55="High"),"Prioritize in sample and validate remediation","Standard monitoring")))</x:f>
      </x:c>
    </x:row>
    <x:row r="56">
      <x:c r="A56" s="37"/>
      <x:c r="B56" s="37"/>
      <x:c r="C56" s="53"/>
      <x:c r="D56" s="37"/>
      <x:c r="E56" s="37"/>
      <x:c r="F56" s="37"/>
      <x:c r="G56" s="37"/>
      <x:c r="H56" s="37"/>
      <x:c r="I56" s="37"/>
      <x:c r="J56" s="37"/>
      <x:c r="K56" s="37"/>
      <x:c r="L56" s="37" t="str">
        <x:f>IF(K56="","",IF(K56&gt;=80,"Critical",IF(K56&gt;=60,"High",IF(K56&gt;=35,"Medium","Low"))))</x:f>
      </x:c>
      <x:c r="M56" s="37" t="str">
        <x:f>IF(L56="","",IF(AND(OR(G56="Outsourced labor supplier",G56="Long-term service supplier"),H56&lt;&gt;"Valid 2026 certificate"),"Obtain valid MoHRE certificate before deployment or renewal",IF(OR(L56="Critical",L56="High"),"Prioritize in sample and validate remediation","Standard monitoring")))</x:f>
      </x:c>
    </x:row>
    <x:row r="57">
      <x:c r="A57" s="37"/>
      <x:c r="B57" s="37"/>
      <x:c r="C57" s="53"/>
      <x:c r="D57" s="37"/>
      <x:c r="E57" s="37"/>
      <x:c r="F57" s="37"/>
      <x:c r="G57" s="37"/>
      <x:c r="H57" s="37"/>
      <x:c r="I57" s="37"/>
      <x:c r="J57" s="37"/>
      <x:c r="K57" s="37"/>
      <x:c r="L57" s="37" t="str">
        <x:f>IF(K57="","",IF(K57&gt;=80,"Critical",IF(K57&gt;=60,"High",IF(K57&gt;=35,"Medium","Low"))))</x:f>
      </x:c>
      <x:c r="M57" s="37" t="str">
        <x:f>IF(L57="","",IF(AND(OR(G57="Outsourced labor supplier",G57="Long-term service supplier"),H57&lt;&gt;"Valid 2026 certificate"),"Obtain valid MoHRE certificate before deployment or renewal",IF(OR(L57="Critical",L57="High"),"Prioritize in sample and validate remediation","Standard monitoring")))</x:f>
      </x:c>
    </x:row>
    <x:row r="58">
      <x:c r="A58" s="37"/>
      <x:c r="B58" s="37"/>
      <x:c r="C58" s="53"/>
      <x:c r="D58" s="37"/>
      <x:c r="E58" s="37"/>
      <x:c r="F58" s="37"/>
      <x:c r="G58" s="37"/>
      <x:c r="H58" s="37"/>
      <x:c r="I58" s="37"/>
      <x:c r="J58" s="37"/>
      <x:c r="K58" s="37"/>
      <x:c r="L58" s="37" t="str">
        <x:f>IF(K58="","",IF(K58&gt;=80,"Critical",IF(K58&gt;=60,"High",IF(K58&gt;=35,"Medium","Low"))))</x:f>
      </x:c>
      <x:c r="M58" s="37" t="str">
        <x:f>IF(L58="","",IF(AND(OR(G58="Outsourced labor supplier",G58="Long-term service supplier"),H58&lt;&gt;"Valid 2026 certificate"),"Obtain valid MoHRE certificate before deployment or renewal",IF(OR(L58="Critical",L58="High"),"Prioritize in sample and validate remediation","Standard monitoring")))</x:f>
      </x:c>
    </x:row>
    <x:row r="59">
      <x:c r="A59" s="37"/>
      <x:c r="B59" s="37"/>
      <x:c r="C59" s="53"/>
      <x:c r="D59" s="37"/>
      <x:c r="E59" s="37"/>
      <x:c r="F59" s="37"/>
      <x:c r="G59" s="37"/>
      <x:c r="H59" s="37"/>
      <x:c r="I59" s="37"/>
      <x:c r="J59" s="37"/>
      <x:c r="K59" s="37"/>
      <x:c r="L59" s="37" t="str">
        <x:f>IF(K59="","",IF(K59&gt;=80,"Critical",IF(K59&gt;=60,"High",IF(K59&gt;=35,"Medium","Low"))))</x:f>
      </x:c>
      <x:c r="M59" s="37" t="str">
        <x:f>IF(L59="","",IF(AND(OR(G59="Outsourced labor supplier",G59="Long-term service supplier"),H59&lt;&gt;"Valid 2026 certificate"),"Obtain valid MoHRE certificate before deployment or renewal",IF(OR(L59="Critical",L59="High"),"Prioritize in sample and validate remediation","Standard monitoring")))</x:f>
      </x:c>
    </x:row>
    <x:row r="60">
      <x:c r="A60" s="37"/>
      <x:c r="B60" s="37"/>
      <x:c r="C60" s="53"/>
      <x:c r="D60" s="37"/>
      <x:c r="E60" s="37"/>
      <x:c r="F60" s="37"/>
      <x:c r="G60" s="37"/>
      <x:c r="H60" s="37"/>
      <x:c r="I60" s="37"/>
      <x:c r="J60" s="37"/>
      <x:c r="K60" s="37"/>
      <x:c r="L60" s="37" t="str">
        <x:f>IF(K60="","",IF(K60&gt;=80,"Critical",IF(K60&gt;=60,"High",IF(K60&gt;=35,"Medium","Low"))))</x:f>
      </x:c>
      <x:c r="M60" s="37" t="str">
        <x:f>IF(L60="","",IF(AND(OR(G60="Outsourced labor supplier",G60="Long-term service supplier"),H60&lt;&gt;"Valid 2026 certificate"),"Obtain valid MoHRE certificate before deployment or renewal",IF(OR(L60="Critical",L60="High"),"Prioritize in sample and validate remediation","Standard monitoring")))</x:f>
      </x:c>
    </x:row>
    <x:row r="61">
      <x:c r="A61" s="37"/>
      <x:c r="B61" s="37"/>
      <x:c r="C61" s="53"/>
      <x:c r="D61" s="37"/>
      <x:c r="E61" s="37"/>
      <x:c r="F61" s="37"/>
      <x:c r="G61" s="37"/>
      <x:c r="H61" s="37"/>
      <x:c r="I61" s="37"/>
      <x:c r="J61" s="37"/>
      <x:c r="K61" s="37"/>
      <x:c r="L61" s="37" t="str">
        <x:f>IF(K61="","",IF(K61&gt;=80,"Critical",IF(K61&gt;=60,"High",IF(K61&gt;=35,"Medium","Low"))))</x:f>
      </x:c>
      <x:c r="M61" s="37" t="str">
        <x:f>IF(L61="","",IF(AND(OR(G61="Outsourced labor supplier",G61="Long-term service supplier"),H61&lt;&gt;"Valid 2026 certificate"),"Obtain valid MoHRE certificate before deployment or renewal",IF(OR(L61="Critical",L61="High"),"Prioritize in sample and validate remediation","Standard monitoring")))</x:f>
      </x:c>
    </x:row>
    <x:row r="62">
      <x:c r="A62" s="37"/>
      <x:c r="B62" s="37"/>
      <x:c r="C62" s="53"/>
      <x:c r="D62" s="37"/>
      <x:c r="E62" s="37"/>
      <x:c r="F62" s="37"/>
      <x:c r="G62" s="37"/>
      <x:c r="H62" s="37"/>
      <x:c r="I62" s="37"/>
      <x:c r="J62" s="37"/>
      <x:c r="K62" s="37"/>
      <x:c r="L62" s="37" t="str">
        <x:f>IF(K62="","",IF(K62&gt;=80,"Critical",IF(K62&gt;=60,"High",IF(K62&gt;=35,"Medium","Low"))))</x:f>
      </x:c>
      <x:c r="M62" s="37" t="str">
        <x:f>IF(L62="","",IF(AND(OR(G62="Outsourced labor supplier",G62="Long-term service supplier"),H62&lt;&gt;"Valid 2026 certificate"),"Obtain valid MoHRE certificate before deployment or renewal",IF(OR(L62="Critical",L62="High"),"Prioritize in sample and validate remediation","Standard monitoring")))</x:f>
      </x:c>
    </x:row>
    <x:row r="63">
      <x:c r="A63" s="37"/>
      <x:c r="B63" s="37"/>
      <x:c r="C63" s="53"/>
      <x:c r="D63" s="37"/>
      <x:c r="E63" s="37"/>
      <x:c r="F63" s="37"/>
      <x:c r="G63" s="37"/>
      <x:c r="H63" s="37"/>
      <x:c r="I63" s="37"/>
      <x:c r="J63" s="37"/>
      <x:c r="K63" s="37"/>
      <x:c r="L63" s="37" t="str">
        <x:f>IF(K63="","",IF(K63&gt;=80,"Critical",IF(K63&gt;=60,"High",IF(K63&gt;=35,"Medium","Low"))))</x:f>
      </x:c>
      <x:c r="M63" s="37" t="str">
        <x:f>IF(L63="","",IF(AND(OR(G63="Outsourced labor supplier",G63="Long-term service supplier"),H63&lt;&gt;"Valid 2026 certificate"),"Obtain valid MoHRE certificate before deployment or renewal",IF(OR(L63="Critical",L63="High"),"Prioritize in sample and validate remediation","Standard monitoring")))</x:f>
      </x:c>
    </x:row>
    <x:row r="64">
      <x:c r="A64" s="37"/>
      <x:c r="B64" s="37"/>
      <x:c r="C64" s="53"/>
      <x:c r="D64" s="37"/>
      <x:c r="E64" s="37"/>
      <x:c r="F64" s="37"/>
      <x:c r="G64" s="37"/>
      <x:c r="H64" s="37"/>
      <x:c r="I64" s="37"/>
      <x:c r="J64" s="37"/>
      <x:c r="K64" s="37"/>
      <x:c r="L64" s="37" t="str">
        <x:f>IF(K64="","",IF(K64&gt;=80,"Critical",IF(K64&gt;=60,"High",IF(K64&gt;=35,"Medium","Low"))))</x:f>
      </x:c>
      <x:c r="M64" s="37" t="str">
        <x:f>IF(L64="","",IF(AND(OR(G64="Outsourced labor supplier",G64="Long-term service supplier"),H64&lt;&gt;"Valid 2026 certificate"),"Obtain valid MoHRE certificate before deployment or renewal",IF(OR(L64="Critical",L64="High"),"Prioritize in sample and validate remediation","Standard monitoring")))</x:f>
      </x:c>
    </x:row>
    <x:row r="65">
      <x:c r="A65" s="37"/>
      <x:c r="B65" s="37"/>
      <x:c r="C65" s="53"/>
      <x:c r="D65" s="37"/>
      <x:c r="E65" s="37"/>
      <x:c r="F65" s="37"/>
      <x:c r="G65" s="37"/>
      <x:c r="H65" s="37"/>
      <x:c r="I65" s="37"/>
      <x:c r="J65" s="37"/>
      <x:c r="K65" s="37"/>
      <x:c r="L65" s="37" t="str">
        <x:f>IF(K65="","",IF(K65&gt;=80,"Critical",IF(K65&gt;=60,"High",IF(K65&gt;=35,"Medium","Low"))))</x:f>
      </x:c>
      <x:c r="M65" s="37" t="str">
        <x:f>IF(L65="","",IF(AND(OR(G65="Outsourced labor supplier",G65="Long-term service supplier"),H65&lt;&gt;"Valid 2026 certificate"),"Obtain valid MoHRE certificate before deployment or renewal",IF(OR(L65="Critical",L65="High"),"Prioritize in sample and validate remediation","Standard monitoring")))</x:f>
      </x:c>
    </x:row>
    <x:row r="66">
      <x:c r="A66" s="37"/>
      <x:c r="B66" s="37"/>
      <x:c r="C66" s="53"/>
      <x:c r="D66" s="37"/>
      <x:c r="E66" s="37"/>
      <x:c r="F66" s="37"/>
      <x:c r="G66" s="37"/>
      <x:c r="H66" s="37"/>
      <x:c r="I66" s="37"/>
      <x:c r="J66" s="37"/>
      <x:c r="K66" s="37"/>
      <x:c r="L66" s="37" t="str">
        <x:f>IF(K66="","",IF(K66&gt;=80,"Critical",IF(K66&gt;=60,"High",IF(K66&gt;=35,"Medium","Low"))))</x:f>
      </x:c>
      <x:c r="M66" s="37" t="str">
        <x:f>IF(L66="","",IF(AND(OR(G66="Outsourced labor supplier",G66="Long-term service supplier"),H66&lt;&gt;"Valid 2026 certificate"),"Obtain valid MoHRE certificate before deployment or renewal",IF(OR(L66="Critical",L66="High"),"Prioritize in sample and validate remediation","Standard monitoring")))</x:f>
      </x:c>
    </x:row>
    <x:row r="67">
      <x:c r="A67" s="37"/>
      <x:c r="B67" s="37"/>
      <x:c r="C67" s="53"/>
      <x:c r="D67" s="37"/>
      <x:c r="E67" s="37"/>
      <x:c r="F67" s="37"/>
      <x:c r="G67" s="37"/>
      <x:c r="H67" s="37"/>
      <x:c r="I67" s="37"/>
      <x:c r="J67" s="37"/>
      <x:c r="K67" s="37"/>
      <x:c r="L67" s="37" t="str">
        <x:f>IF(K67="","",IF(K67&gt;=80,"Critical",IF(K67&gt;=60,"High",IF(K67&gt;=35,"Medium","Low"))))</x:f>
      </x:c>
      <x:c r="M67" s="37" t="str">
        <x:f>IF(L67="","",IF(AND(OR(G67="Outsourced labor supplier",G67="Long-term service supplier"),H67&lt;&gt;"Valid 2026 certificate"),"Obtain valid MoHRE certificate before deployment or renewal",IF(OR(L67="Critical",L67="High"),"Prioritize in sample and validate remediation","Standard monitoring")))</x:f>
      </x:c>
    </x:row>
    <x:row r="68">
      <x:c r="A68" s="37"/>
      <x:c r="B68" s="37"/>
      <x:c r="C68" s="53"/>
      <x:c r="D68" s="37"/>
      <x:c r="E68" s="37"/>
      <x:c r="F68" s="37"/>
      <x:c r="G68" s="37"/>
      <x:c r="H68" s="37"/>
      <x:c r="I68" s="37"/>
      <x:c r="J68" s="37"/>
      <x:c r="K68" s="37"/>
      <x:c r="L68" s="37" t="str">
        <x:f>IF(K68="","",IF(K68&gt;=80,"Critical",IF(K68&gt;=60,"High",IF(K68&gt;=35,"Medium","Low"))))</x:f>
      </x:c>
      <x:c r="M68" s="37" t="str">
        <x:f>IF(L68="","",IF(AND(OR(G68="Outsourced labor supplier",G68="Long-term service supplier"),H68&lt;&gt;"Valid 2026 certificate"),"Obtain valid MoHRE certificate before deployment or renewal",IF(OR(L68="Critical",L68="High"),"Prioritize in sample and validate remediation","Standard monitoring")))</x:f>
      </x:c>
    </x:row>
    <x:row r="69">
      <x:c r="A69" s="37"/>
      <x:c r="B69" s="37"/>
      <x:c r="C69" s="53"/>
      <x:c r="D69" s="37"/>
      <x:c r="E69" s="37"/>
      <x:c r="F69" s="37"/>
      <x:c r="G69" s="37"/>
      <x:c r="H69" s="37"/>
      <x:c r="I69" s="37"/>
      <x:c r="J69" s="37"/>
      <x:c r="K69" s="37"/>
      <x:c r="L69" s="37" t="str">
        <x:f>IF(K69="","",IF(K69&gt;=80,"Critical",IF(K69&gt;=60,"High",IF(K69&gt;=35,"Medium","Low"))))</x:f>
      </x:c>
      <x:c r="M69" s="37" t="str">
        <x:f>IF(L69="","",IF(AND(OR(G69="Outsourced labor supplier",G69="Long-term service supplier"),H69&lt;&gt;"Valid 2026 certificate"),"Obtain valid MoHRE certificate before deployment or renewal",IF(OR(L69="Critical",L69="High"),"Prioritize in sample and validate remediation","Standard monitoring")))</x:f>
      </x:c>
    </x:row>
    <x:row r="70">
      <x:c r="A70" s="37"/>
      <x:c r="B70" s="37"/>
      <x:c r="C70" s="53"/>
      <x:c r="D70" s="37"/>
      <x:c r="E70" s="37"/>
      <x:c r="F70" s="37"/>
      <x:c r="G70" s="37"/>
      <x:c r="H70" s="37"/>
      <x:c r="I70" s="37"/>
      <x:c r="J70" s="37"/>
      <x:c r="K70" s="37"/>
      <x:c r="L70" s="37" t="str">
        <x:f>IF(K70="","",IF(K70&gt;=80,"Critical",IF(K70&gt;=60,"High",IF(K70&gt;=35,"Medium","Low"))))</x:f>
      </x:c>
      <x:c r="M70" s="37" t="str">
        <x:f>IF(L70="","",IF(AND(OR(G70="Outsourced labor supplier",G70="Long-term service supplier"),H70&lt;&gt;"Valid 2026 certificate"),"Obtain valid MoHRE certificate before deployment or renewal",IF(OR(L70="Critical",L70="High"),"Prioritize in sample and validate remediation","Standard monitoring")))</x:f>
      </x:c>
    </x:row>
    <x:row r="71">
      <x:c r="A71" s="37"/>
      <x:c r="B71" s="37"/>
      <x:c r="C71" s="53"/>
      <x:c r="D71" s="37"/>
      <x:c r="E71" s="37"/>
      <x:c r="F71" s="37"/>
      <x:c r="G71" s="37"/>
      <x:c r="H71" s="37"/>
      <x:c r="I71" s="37"/>
      <x:c r="J71" s="37"/>
      <x:c r="K71" s="37"/>
      <x:c r="L71" s="37" t="str">
        <x:f>IF(K71="","",IF(K71&gt;=80,"Critical",IF(K71&gt;=60,"High",IF(K71&gt;=35,"Medium","Low"))))</x:f>
      </x:c>
      <x:c r="M71" s="37" t="str">
        <x:f>IF(L71="","",IF(AND(OR(G71="Outsourced labor supplier",G71="Long-term service supplier"),H71&lt;&gt;"Valid 2026 certificate"),"Obtain valid MoHRE certificate before deployment or renewal",IF(OR(L71="Critical",L71="High"),"Prioritize in sample and validate remediation","Standard monitoring")))</x:f>
      </x:c>
    </x:row>
    <x:row r="72">
      <x:c r="A72" s="37"/>
      <x:c r="B72" s="37"/>
      <x:c r="C72" s="53"/>
      <x:c r="D72" s="37"/>
      <x:c r="E72" s="37"/>
      <x:c r="F72" s="37"/>
      <x:c r="G72" s="37"/>
      <x:c r="H72" s="37"/>
      <x:c r="I72" s="37"/>
      <x:c r="J72" s="37"/>
      <x:c r="K72" s="37"/>
      <x:c r="L72" s="37" t="str">
        <x:f>IF(K72="","",IF(K72&gt;=80,"Critical",IF(K72&gt;=60,"High",IF(K72&gt;=35,"Medium","Low"))))</x:f>
      </x:c>
      <x:c r="M72" s="37" t="str">
        <x:f>IF(L72="","",IF(AND(OR(G72="Outsourced labor supplier",G72="Long-term service supplier"),H72&lt;&gt;"Valid 2026 certificate"),"Obtain valid MoHRE certificate before deployment or renewal",IF(OR(L72="Critical",L72="High"),"Prioritize in sample and validate remediation","Standard monitoring")))</x:f>
      </x:c>
    </x:row>
    <x:row r="73">
      <x:c r="A73" s="37"/>
      <x:c r="B73" s="37"/>
      <x:c r="C73" s="53"/>
      <x:c r="D73" s="37"/>
      <x:c r="E73" s="37"/>
      <x:c r="F73" s="37"/>
      <x:c r="G73" s="37"/>
      <x:c r="H73" s="37"/>
      <x:c r="I73" s="37"/>
      <x:c r="J73" s="37"/>
      <x:c r="K73" s="37"/>
      <x:c r="L73" s="37" t="str">
        <x:f>IF(K73="","",IF(K73&gt;=80,"Critical",IF(K73&gt;=60,"High",IF(K73&gt;=35,"Medium","Low"))))</x:f>
      </x:c>
      <x:c r="M73" s="37" t="str">
        <x:f>IF(L73="","",IF(AND(OR(G73="Outsourced labor supplier",G73="Long-term service supplier"),H73&lt;&gt;"Valid 2026 certificate"),"Obtain valid MoHRE certificate before deployment or renewal",IF(OR(L73="Critical",L73="High"),"Prioritize in sample and validate remediation","Standard monitoring")))</x:f>
      </x:c>
    </x:row>
    <x:row r="74">
      <x:c r="A74" s="37"/>
      <x:c r="B74" s="37"/>
      <x:c r="C74" s="53"/>
      <x:c r="D74" s="37"/>
      <x:c r="E74" s="37"/>
      <x:c r="F74" s="37"/>
      <x:c r="G74" s="37"/>
      <x:c r="H74" s="37"/>
      <x:c r="I74" s="37"/>
      <x:c r="J74" s="37"/>
      <x:c r="K74" s="37"/>
      <x:c r="L74" s="37" t="str">
        <x:f>IF(K74="","",IF(K74&gt;=80,"Critical",IF(K74&gt;=60,"High",IF(K74&gt;=35,"Medium","Low"))))</x:f>
      </x:c>
      <x:c r="M74" s="37" t="str">
        <x:f>IF(L74="","",IF(AND(OR(G74="Outsourced labor supplier",G74="Long-term service supplier"),H74&lt;&gt;"Valid 2026 certificate"),"Obtain valid MoHRE certificate before deployment or renewal",IF(OR(L74="Critical",L74="High"),"Prioritize in sample and validate remediation","Standard monitoring")))</x:f>
      </x:c>
    </x:row>
    <x:row r="75">
      <x:c r="A75" s="37"/>
      <x:c r="B75" s="37"/>
      <x:c r="C75" s="53"/>
      <x:c r="D75" s="37"/>
      <x:c r="E75" s="37"/>
      <x:c r="F75" s="37"/>
      <x:c r="G75" s="37"/>
      <x:c r="H75" s="37"/>
      <x:c r="I75" s="37"/>
      <x:c r="J75" s="37"/>
      <x:c r="K75" s="37"/>
      <x:c r="L75" s="37" t="str">
        <x:f>IF(K75="","",IF(K75&gt;=80,"Critical",IF(K75&gt;=60,"High",IF(K75&gt;=35,"Medium","Low"))))</x:f>
      </x:c>
      <x:c r="M75" s="37" t="str">
        <x:f>IF(L75="","",IF(AND(OR(G75="Outsourced labor supplier",G75="Long-term service supplier"),H75&lt;&gt;"Valid 2026 certificate"),"Obtain valid MoHRE certificate before deployment or renewal",IF(OR(L75="Critical",L75="High"),"Prioritize in sample and validate remediation","Standard monitoring")))</x:f>
      </x:c>
    </x:row>
    <x:row r="76">
      <x:c r="A76" s="37"/>
      <x:c r="B76" s="37"/>
      <x:c r="C76" s="53"/>
      <x:c r="D76" s="37"/>
      <x:c r="E76" s="37"/>
      <x:c r="F76" s="37"/>
      <x:c r="G76" s="37"/>
      <x:c r="H76" s="37"/>
      <x:c r="I76" s="37"/>
      <x:c r="J76" s="37"/>
      <x:c r="K76" s="37"/>
      <x:c r="L76" s="37" t="str">
        <x:f>IF(K76="","",IF(K76&gt;=80,"Critical",IF(K76&gt;=60,"High",IF(K76&gt;=35,"Medium","Low"))))</x:f>
      </x:c>
      <x:c r="M76" s="37" t="str">
        <x:f>IF(L76="","",IF(AND(OR(G76="Outsourced labor supplier",G76="Long-term service supplier"),H76&lt;&gt;"Valid 2026 certificate"),"Obtain valid MoHRE certificate before deployment or renewal",IF(OR(L76="Critical",L76="High"),"Prioritize in sample and validate remediation","Standard monitoring")))</x:f>
      </x:c>
    </x:row>
    <x:row r="77">
      <x:c r="A77" s="37"/>
      <x:c r="B77" s="37"/>
      <x:c r="C77" s="53"/>
      <x:c r="D77" s="37"/>
      <x:c r="E77" s="37"/>
      <x:c r="F77" s="37"/>
      <x:c r="G77" s="37"/>
      <x:c r="H77" s="37"/>
      <x:c r="I77" s="37"/>
      <x:c r="J77" s="37"/>
      <x:c r="K77" s="37"/>
      <x:c r="L77" s="37" t="str">
        <x:f>IF(K77="","",IF(K77&gt;=80,"Critical",IF(K77&gt;=60,"High",IF(K77&gt;=35,"Medium","Low"))))</x:f>
      </x:c>
      <x:c r="M77" s="37" t="str">
        <x:f>IF(L77="","",IF(AND(OR(G77="Outsourced labor supplier",G77="Long-term service supplier"),H77&lt;&gt;"Valid 2026 certificate"),"Obtain valid MoHRE certificate before deployment or renewal",IF(OR(L77="Critical",L77="High"),"Prioritize in sample and validate remediation","Standard monitoring")))</x:f>
      </x:c>
    </x:row>
    <x:row r="78">
      <x:c r="A78" s="37"/>
      <x:c r="B78" s="37"/>
      <x:c r="C78" s="53"/>
      <x:c r="D78" s="37"/>
      <x:c r="E78" s="37"/>
      <x:c r="F78" s="37"/>
      <x:c r="G78" s="37"/>
      <x:c r="H78" s="37"/>
      <x:c r="I78" s="37"/>
      <x:c r="J78" s="37"/>
      <x:c r="K78" s="37"/>
      <x:c r="L78" s="37" t="str">
        <x:f>IF(K78="","",IF(K78&gt;=80,"Critical",IF(K78&gt;=60,"High",IF(K78&gt;=35,"Medium","Low"))))</x:f>
      </x:c>
      <x:c r="M78" s="37" t="str">
        <x:f>IF(L78="","",IF(AND(OR(G78="Outsourced labor supplier",G78="Long-term service supplier"),H78&lt;&gt;"Valid 2026 certificate"),"Obtain valid MoHRE certificate before deployment or renewal",IF(OR(L78="Critical",L78="High"),"Prioritize in sample and validate remediation","Standard monitoring")))</x:f>
      </x:c>
    </x:row>
    <x:row r="79">
      <x:c r="A79" s="37"/>
      <x:c r="B79" s="37"/>
      <x:c r="C79" s="53"/>
      <x:c r="D79" s="37"/>
      <x:c r="E79" s="37"/>
      <x:c r="F79" s="37"/>
      <x:c r="G79" s="37"/>
      <x:c r="H79" s="37"/>
      <x:c r="I79" s="37"/>
      <x:c r="J79" s="37"/>
      <x:c r="K79" s="37"/>
      <x:c r="L79" s="37" t="str">
        <x:f>IF(K79="","",IF(K79&gt;=80,"Critical",IF(K79&gt;=60,"High",IF(K79&gt;=35,"Medium","Low"))))</x:f>
      </x:c>
      <x:c r="M79" s="37" t="str">
        <x:f>IF(L79="","",IF(AND(OR(G79="Outsourced labor supplier",G79="Long-term service supplier"),H79&lt;&gt;"Valid 2026 certificate"),"Obtain valid MoHRE certificate before deployment or renewal",IF(OR(L79="Critical",L79="High"),"Prioritize in sample and validate remediation","Standard monitoring")))</x:f>
      </x:c>
    </x:row>
    <x:row r="80">
      <x:c r="A80" s="37"/>
      <x:c r="B80" s="37"/>
      <x:c r="C80" s="53"/>
      <x:c r="D80" s="37"/>
      <x:c r="E80" s="37"/>
      <x:c r="F80" s="37"/>
      <x:c r="G80" s="37"/>
      <x:c r="H80" s="37"/>
      <x:c r="I80" s="37"/>
      <x:c r="J80" s="37"/>
      <x:c r="K80" s="37"/>
      <x:c r="L80" s="37" t="str">
        <x:f>IF(K80="","",IF(K80&gt;=80,"Critical",IF(K80&gt;=60,"High",IF(K80&gt;=35,"Medium","Low"))))</x:f>
      </x:c>
      <x:c r="M80" s="37" t="str">
        <x:f>IF(L80="","",IF(AND(OR(G80="Outsourced labor supplier",G80="Long-term service supplier"),H80&lt;&gt;"Valid 2026 certificate"),"Obtain valid MoHRE certificate before deployment or renewal",IF(OR(L80="Critical",L80="High"),"Prioritize in sample and validate remediation","Standard monitoring")))</x:f>
      </x:c>
    </x:row>
    <x:row r="81">
      <x:c r="A81" s="37"/>
      <x:c r="B81" s="37"/>
      <x:c r="C81" s="53"/>
      <x:c r="D81" s="37"/>
      <x:c r="E81" s="37"/>
      <x:c r="F81" s="37"/>
      <x:c r="G81" s="37"/>
      <x:c r="H81" s="37"/>
      <x:c r="I81" s="37"/>
      <x:c r="J81" s="37"/>
      <x:c r="K81" s="37"/>
      <x:c r="L81" s="37" t="str">
        <x:f>IF(K81="","",IF(K81&gt;=80,"Critical",IF(K81&gt;=60,"High",IF(K81&gt;=35,"Medium","Low"))))</x:f>
      </x:c>
      <x:c r="M81" s="37" t="str">
        <x:f>IF(L81="","",IF(AND(OR(G81="Outsourced labor supplier",G81="Long-term service supplier"),H81&lt;&gt;"Valid 2026 certificate"),"Obtain valid MoHRE certificate before deployment or renewal",IF(OR(L81="Critical",L81="High"),"Prioritize in sample and validate remediation","Standard monitoring")))</x:f>
      </x:c>
    </x:row>
    <x:row r="82">
      <x:c r="A82" s="37"/>
      <x:c r="B82" s="37"/>
      <x:c r="C82" s="53"/>
      <x:c r="D82" s="37"/>
      <x:c r="E82" s="37"/>
      <x:c r="F82" s="37"/>
      <x:c r="G82" s="37"/>
      <x:c r="H82" s="37"/>
      <x:c r="I82" s="37"/>
      <x:c r="J82" s="37"/>
      <x:c r="K82" s="37"/>
      <x:c r="L82" s="37" t="str">
        <x:f>IF(K82="","",IF(K82&gt;=80,"Critical",IF(K82&gt;=60,"High",IF(K82&gt;=35,"Medium","Low"))))</x:f>
      </x:c>
      <x:c r="M82" s="37" t="str">
        <x:f>IF(L82="","",IF(AND(OR(G82="Outsourced labor supplier",G82="Long-term service supplier"),H82&lt;&gt;"Valid 2026 certificate"),"Obtain valid MoHRE certificate before deployment or renewal",IF(OR(L82="Critical",L82="High"),"Prioritize in sample and validate remediation","Standard monitoring")))</x:f>
      </x:c>
    </x:row>
    <x:row r="83">
      <x:c r="A83" s="37"/>
      <x:c r="B83" s="37"/>
      <x:c r="C83" s="53"/>
      <x:c r="D83" s="37"/>
      <x:c r="E83" s="37"/>
      <x:c r="F83" s="37"/>
      <x:c r="G83" s="37"/>
      <x:c r="H83" s="37"/>
      <x:c r="I83" s="37"/>
      <x:c r="J83" s="37"/>
      <x:c r="K83" s="37"/>
      <x:c r="L83" s="37" t="str">
        <x:f>IF(K83="","",IF(K83&gt;=80,"Critical",IF(K83&gt;=60,"High",IF(K83&gt;=35,"Medium","Low"))))</x:f>
      </x:c>
      <x:c r="M83" s="37" t="str">
        <x:f>IF(L83="","",IF(AND(OR(G83="Outsourced labor supplier",G83="Long-term service supplier"),H83&lt;&gt;"Valid 2026 certificate"),"Obtain valid MoHRE certificate before deployment or renewal",IF(OR(L83="Critical",L83="High"),"Prioritize in sample and validate remediation","Standard monitoring")))</x:f>
      </x:c>
    </x:row>
    <x:row r="84">
      <x:c r="A84" s="37"/>
      <x:c r="B84" s="37"/>
      <x:c r="C84" s="53"/>
      <x:c r="D84" s="37"/>
      <x:c r="E84" s="37"/>
      <x:c r="F84" s="37"/>
      <x:c r="G84" s="37"/>
      <x:c r="H84" s="37"/>
      <x:c r="I84" s="37"/>
      <x:c r="J84" s="37"/>
      <x:c r="K84" s="37"/>
      <x:c r="L84" s="37" t="str">
        <x:f>IF(K84="","",IF(K84&gt;=80,"Critical",IF(K84&gt;=60,"High",IF(K84&gt;=35,"Medium","Low"))))</x:f>
      </x:c>
      <x:c r="M84" s="37" t="str">
        <x:f>IF(L84="","",IF(AND(OR(G84="Outsourced labor supplier",G84="Long-term service supplier"),H84&lt;&gt;"Valid 2026 certificate"),"Obtain valid MoHRE certificate before deployment or renewal",IF(OR(L84="Critical",L84="High"),"Prioritize in sample and validate remediation","Standard monitoring")))</x:f>
      </x:c>
    </x:row>
    <x:row r="85">
      <x:c r="A85" s="37"/>
      <x:c r="B85" s="37"/>
      <x:c r="C85" s="53"/>
      <x:c r="D85" s="37"/>
      <x:c r="E85" s="37"/>
      <x:c r="F85" s="37"/>
      <x:c r="G85" s="37"/>
      <x:c r="H85" s="37"/>
      <x:c r="I85" s="37"/>
      <x:c r="J85" s="37"/>
      <x:c r="K85" s="37"/>
      <x:c r="L85" s="37" t="str">
        <x:f>IF(K85="","",IF(K85&gt;=80,"Critical",IF(K85&gt;=60,"High",IF(K85&gt;=35,"Medium","Low"))))</x:f>
      </x:c>
      <x:c r="M85" s="37" t="str">
        <x:f>IF(L85="","",IF(AND(OR(G85="Outsourced labor supplier",G85="Long-term service supplier"),H85&lt;&gt;"Valid 2026 certificate"),"Obtain valid MoHRE certificate before deployment or renewal",IF(OR(L85="Critical",L85="High"),"Prioritize in sample and validate remediation","Standard monitoring")))</x:f>
      </x:c>
    </x:row>
    <x:row r="86">
      <x:c r="A86" s="37"/>
      <x:c r="B86" s="37"/>
      <x:c r="C86" s="53"/>
      <x:c r="D86" s="37"/>
      <x:c r="E86" s="37"/>
      <x:c r="F86" s="37"/>
      <x:c r="G86" s="37"/>
      <x:c r="H86" s="37"/>
      <x:c r="I86" s="37"/>
      <x:c r="J86" s="37"/>
      <x:c r="K86" s="37"/>
      <x:c r="L86" s="37" t="str">
        <x:f>IF(K86="","",IF(K86&gt;=80,"Critical",IF(K86&gt;=60,"High",IF(K86&gt;=35,"Medium","Low"))))</x:f>
      </x:c>
      <x:c r="M86" s="37" t="str">
        <x:f>IF(L86="","",IF(AND(OR(G86="Outsourced labor supplier",G86="Long-term service supplier"),H86&lt;&gt;"Valid 2026 certificate"),"Obtain valid MoHRE certificate before deployment or renewal",IF(OR(L86="Critical",L86="High"),"Prioritize in sample and validate remediation","Standard monitoring")))</x:f>
      </x:c>
    </x:row>
    <x:row r="87">
      <x:c r="A87" s="37"/>
      <x:c r="B87" s="37"/>
      <x:c r="C87" s="53"/>
      <x:c r="D87" s="37"/>
      <x:c r="E87" s="37"/>
      <x:c r="F87" s="37"/>
      <x:c r="G87" s="37"/>
      <x:c r="H87" s="37"/>
      <x:c r="I87" s="37"/>
      <x:c r="J87" s="37"/>
      <x:c r="K87" s="37"/>
      <x:c r="L87" s="37" t="str">
        <x:f>IF(K87="","",IF(K87&gt;=80,"Critical",IF(K87&gt;=60,"High",IF(K87&gt;=35,"Medium","Low"))))</x:f>
      </x:c>
      <x:c r="M87" s="37" t="str">
        <x:f>IF(L87="","",IF(AND(OR(G87="Outsourced labor supplier",G87="Long-term service supplier"),H87&lt;&gt;"Valid 2026 certificate"),"Obtain valid MoHRE certificate before deployment or renewal",IF(OR(L87="Critical",L87="High"),"Prioritize in sample and validate remediation","Standard monitoring")))</x:f>
      </x:c>
    </x:row>
    <x:row r="88">
      <x:c r="A88" s="37"/>
      <x:c r="B88" s="37"/>
      <x:c r="C88" s="53"/>
      <x:c r="D88" s="37"/>
      <x:c r="E88" s="37"/>
      <x:c r="F88" s="37"/>
      <x:c r="G88" s="37"/>
      <x:c r="H88" s="37"/>
      <x:c r="I88" s="37"/>
      <x:c r="J88" s="37"/>
      <x:c r="K88" s="37"/>
      <x:c r="L88" s="37" t="str">
        <x:f>IF(K88="","",IF(K88&gt;=80,"Critical",IF(K88&gt;=60,"High",IF(K88&gt;=35,"Medium","Low"))))</x:f>
      </x:c>
      <x:c r="M88" s="37" t="str">
        <x:f>IF(L88="","",IF(AND(OR(G88="Outsourced labor supplier",G88="Long-term service supplier"),H88&lt;&gt;"Valid 2026 certificate"),"Obtain valid MoHRE certificate before deployment or renewal",IF(OR(L88="Critical",L88="High"),"Prioritize in sample and validate remediation","Standard monitoring")))</x:f>
      </x:c>
    </x:row>
    <x:row r="89">
      <x:c r="A89" s="37"/>
      <x:c r="B89" s="37"/>
      <x:c r="C89" s="53"/>
      <x:c r="D89" s="37"/>
      <x:c r="E89" s="37"/>
      <x:c r="F89" s="37"/>
      <x:c r="G89" s="37"/>
      <x:c r="H89" s="37"/>
      <x:c r="I89" s="37"/>
      <x:c r="J89" s="37"/>
      <x:c r="K89" s="37"/>
      <x:c r="L89" s="37" t="str">
        <x:f>IF(K89="","",IF(K89&gt;=80,"Critical",IF(K89&gt;=60,"High",IF(K89&gt;=35,"Medium","Low"))))</x:f>
      </x:c>
      <x:c r="M89" s="37" t="str">
        <x:f>IF(L89="","",IF(AND(OR(G89="Outsourced labor supplier",G89="Long-term service supplier"),H89&lt;&gt;"Valid 2026 certificate"),"Obtain valid MoHRE certificate before deployment or renewal",IF(OR(L89="Critical",L89="High"),"Prioritize in sample and validate remediation","Standard monitoring")))</x:f>
      </x:c>
    </x:row>
    <x:row r="90">
      <x:c r="A90" s="37"/>
      <x:c r="B90" s="37"/>
      <x:c r="C90" s="53"/>
      <x:c r="D90" s="37"/>
      <x:c r="E90" s="37"/>
      <x:c r="F90" s="37"/>
      <x:c r="G90" s="37"/>
      <x:c r="H90" s="37"/>
      <x:c r="I90" s="37"/>
      <x:c r="J90" s="37"/>
      <x:c r="K90" s="37"/>
      <x:c r="L90" s="37" t="str">
        <x:f>IF(K90="","",IF(K90&gt;=80,"Critical",IF(K90&gt;=60,"High",IF(K90&gt;=35,"Medium","Low"))))</x:f>
      </x:c>
      <x:c r="M90" s="37" t="str">
        <x:f>IF(L90="","",IF(AND(OR(G90="Outsourced labor supplier",G90="Long-term service supplier"),H90&lt;&gt;"Valid 2026 certificate"),"Obtain valid MoHRE certificate before deployment or renewal",IF(OR(L90="Critical",L90="High"),"Prioritize in sample and validate remediation","Standard monitoring")))</x:f>
      </x:c>
    </x:row>
    <x:row r="91">
      <x:c r="A91" s="37"/>
      <x:c r="B91" s="37"/>
      <x:c r="C91" s="53"/>
      <x:c r="D91" s="37"/>
      <x:c r="E91" s="37"/>
      <x:c r="F91" s="37"/>
      <x:c r="G91" s="37"/>
      <x:c r="H91" s="37"/>
      <x:c r="I91" s="37"/>
      <x:c r="J91" s="37"/>
      <x:c r="K91" s="37"/>
      <x:c r="L91" s="37" t="str">
        <x:f>IF(K91="","",IF(K91&gt;=80,"Critical",IF(K91&gt;=60,"High",IF(K91&gt;=35,"Medium","Low"))))</x:f>
      </x:c>
      <x:c r="M91" s="37" t="str">
        <x:f>IF(L91="","",IF(AND(OR(G91="Outsourced labor supplier",G91="Long-term service supplier"),H91&lt;&gt;"Valid 2026 certificate"),"Obtain valid MoHRE certificate before deployment or renewal",IF(OR(L91="Critical",L91="High"),"Prioritize in sample and validate remediation","Standard monitoring")))</x:f>
      </x:c>
    </x:row>
    <x:row r="92">
      <x:c r="A92" s="37"/>
      <x:c r="B92" s="37"/>
      <x:c r="C92" s="53"/>
      <x:c r="D92" s="37"/>
      <x:c r="E92" s="37"/>
      <x:c r="F92" s="37"/>
      <x:c r="G92" s="37"/>
      <x:c r="H92" s="37"/>
      <x:c r="I92" s="37"/>
      <x:c r="J92" s="37"/>
      <x:c r="K92" s="37"/>
      <x:c r="L92" s="37" t="str">
        <x:f>IF(K92="","",IF(K92&gt;=80,"Critical",IF(K92&gt;=60,"High",IF(K92&gt;=35,"Medium","Low"))))</x:f>
      </x:c>
      <x:c r="M92" s="37" t="str">
        <x:f>IF(L92="","",IF(AND(OR(G92="Outsourced labor supplier",G92="Long-term service supplier"),H92&lt;&gt;"Valid 2026 certificate"),"Obtain valid MoHRE certificate before deployment or renewal",IF(OR(L92="Critical",L92="High"),"Prioritize in sample and validate remediation","Standard monitoring")))</x:f>
      </x:c>
    </x:row>
    <x:row r="93">
      <x:c r="A93" s="37"/>
      <x:c r="B93" s="37"/>
      <x:c r="C93" s="53"/>
      <x:c r="D93" s="37"/>
      <x:c r="E93" s="37"/>
      <x:c r="F93" s="37"/>
      <x:c r="G93" s="37"/>
      <x:c r="H93" s="37"/>
      <x:c r="I93" s="37"/>
      <x:c r="J93" s="37"/>
      <x:c r="K93" s="37"/>
      <x:c r="L93" s="37" t="str">
        <x:f>IF(K93="","",IF(K93&gt;=80,"Critical",IF(K93&gt;=60,"High",IF(K93&gt;=35,"Medium","Low"))))</x:f>
      </x:c>
      <x:c r="M93" s="37" t="str">
        <x:f>IF(L93="","",IF(AND(OR(G93="Outsourced labor supplier",G93="Long-term service supplier"),H93&lt;&gt;"Valid 2026 certificate"),"Obtain valid MoHRE certificate before deployment or renewal",IF(OR(L93="Critical",L93="High"),"Prioritize in sample and validate remediation","Standard monitoring")))</x:f>
      </x:c>
    </x:row>
    <x:row r="94">
      <x:c r="A94" s="37"/>
      <x:c r="B94" s="37"/>
      <x:c r="C94" s="53"/>
      <x:c r="D94" s="37"/>
      <x:c r="E94" s="37"/>
      <x:c r="F94" s="37"/>
      <x:c r="G94" s="37"/>
      <x:c r="H94" s="37"/>
      <x:c r="I94" s="37"/>
      <x:c r="J94" s="37"/>
      <x:c r="K94" s="37"/>
      <x:c r="L94" s="37" t="str">
        <x:f>IF(K94="","",IF(K94&gt;=80,"Critical",IF(K94&gt;=60,"High",IF(K94&gt;=35,"Medium","Low"))))</x:f>
      </x:c>
      <x:c r="M94" s="37" t="str">
        <x:f>IF(L94="","",IF(AND(OR(G94="Outsourced labor supplier",G94="Long-term service supplier"),H94&lt;&gt;"Valid 2026 certificate"),"Obtain valid MoHRE certificate before deployment or renewal",IF(OR(L94="Critical",L94="High"),"Prioritize in sample and validate remediation","Standard monitoring")))</x:f>
      </x:c>
    </x:row>
    <x:row r="95">
      <x:c r="A95" s="37"/>
      <x:c r="B95" s="37"/>
      <x:c r="C95" s="53"/>
      <x:c r="D95" s="37"/>
      <x:c r="E95" s="37"/>
      <x:c r="F95" s="37"/>
      <x:c r="G95" s="37"/>
      <x:c r="H95" s="37"/>
      <x:c r="I95" s="37"/>
      <x:c r="J95" s="37"/>
      <x:c r="K95" s="37"/>
      <x:c r="L95" s="37" t="str">
        <x:f>IF(K95="","",IF(K95&gt;=80,"Critical",IF(K95&gt;=60,"High",IF(K95&gt;=35,"Medium","Low"))))</x:f>
      </x:c>
      <x:c r="M95" s="37" t="str">
        <x:f>IF(L95="","",IF(AND(OR(G95="Outsourced labor supplier",G95="Long-term service supplier"),H95&lt;&gt;"Valid 2026 certificate"),"Obtain valid MoHRE certificate before deployment or renewal",IF(OR(L95="Critical",L95="High"),"Prioritize in sample and validate remediation","Standard monitoring")))</x:f>
      </x:c>
    </x:row>
    <x:row r="96">
      <x:c r="A96" s="37"/>
      <x:c r="B96" s="37"/>
      <x:c r="C96" s="53"/>
      <x:c r="D96" s="37"/>
      <x:c r="E96" s="37"/>
      <x:c r="F96" s="37"/>
      <x:c r="G96" s="37"/>
      <x:c r="H96" s="37"/>
      <x:c r="I96" s="37"/>
      <x:c r="J96" s="37"/>
      <x:c r="K96" s="37"/>
      <x:c r="L96" s="37" t="str">
        <x:f>IF(K96="","",IF(K96&gt;=80,"Critical",IF(K96&gt;=60,"High",IF(K96&gt;=35,"Medium","Low"))))</x:f>
      </x:c>
      <x:c r="M96" s="37" t="str">
        <x:f>IF(L96="","",IF(AND(OR(G96="Outsourced labor supplier",G96="Long-term service supplier"),H96&lt;&gt;"Valid 2026 certificate"),"Obtain valid MoHRE certificate before deployment or renewal",IF(OR(L96="Critical",L96="High"),"Prioritize in sample and validate remediation","Standard monitoring")))</x:f>
      </x:c>
    </x:row>
    <x:row r="97">
      <x:c r="A97" s="37"/>
      <x:c r="B97" s="37"/>
      <x:c r="C97" s="53"/>
      <x:c r="D97" s="37"/>
      <x:c r="E97" s="37"/>
      <x:c r="F97" s="37"/>
      <x:c r="G97" s="37"/>
      <x:c r="H97" s="37"/>
      <x:c r="I97" s="37"/>
      <x:c r="J97" s="37"/>
      <x:c r="K97" s="37"/>
      <x:c r="L97" s="37" t="str">
        <x:f>IF(K97="","",IF(K97&gt;=80,"Critical",IF(K97&gt;=60,"High",IF(K97&gt;=35,"Medium","Low"))))</x:f>
      </x:c>
      <x:c r="M97" s="37" t="str">
        <x:f>IF(L97="","",IF(AND(OR(G97="Outsourced labor supplier",G97="Long-term service supplier"),H97&lt;&gt;"Valid 2026 certificate"),"Obtain valid MoHRE certificate before deployment or renewal",IF(OR(L97="Critical",L97="High"),"Prioritize in sample and validate remediation","Standard monitoring")))</x:f>
      </x:c>
    </x:row>
    <x:row r="98">
      <x:c r="A98" s="37"/>
      <x:c r="B98" s="37"/>
      <x:c r="C98" s="53"/>
      <x:c r="D98" s="37"/>
      <x:c r="E98" s="37"/>
      <x:c r="F98" s="37"/>
      <x:c r="G98" s="37"/>
      <x:c r="H98" s="37"/>
      <x:c r="I98" s="37"/>
      <x:c r="J98" s="37"/>
      <x:c r="K98" s="37"/>
      <x:c r="L98" s="37" t="str">
        <x:f>IF(K98="","",IF(K98&gt;=80,"Critical",IF(K98&gt;=60,"High",IF(K98&gt;=35,"Medium","Low"))))</x:f>
      </x:c>
      <x:c r="M98" s="37" t="str">
        <x:f>IF(L98="","",IF(AND(OR(G98="Outsourced labor supplier",G98="Long-term service supplier"),H98&lt;&gt;"Valid 2026 certificate"),"Obtain valid MoHRE certificate before deployment or renewal",IF(OR(L98="Critical",L98="High"),"Prioritize in sample and validate remediation","Standard monitoring")))</x:f>
      </x:c>
    </x:row>
    <x:row r="99">
      <x:c r="A99" s="37"/>
      <x:c r="B99" s="37"/>
      <x:c r="C99" s="53"/>
      <x:c r="D99" s="37"/>
      <x:c r="E99" s="37"/>
      <x:c r="F99" s="37"/>
      <x:c r="G99" s="37"/>
      <x:c r="H99" s="37"/>
      <x:c r="I99" s="37"/>
      <x:c r="J99" s="37"/>
      <x:c r="K99" s="37"/>
      <x:c r="L99" s="37" t="str">
        <x:f>IF(K99="","",IF(K99&gt;=80,"Critical",IF(K99&gt;=60,"High",IF(K99&gt;=35,"Medium","Low"))))</x:f>
      </x:c>
      <x:c r="M99" s="37" t="str">
        <x:f>IF(L99="","",IF(AND(OR(G99="Outsourced labor supplier",G99="Long-term service supplier"),H99&lt;&gt;"Valid 2026 certificate"),"Obtain valid MoHRE certificate before deployment or renewal",IF(OR(L99="Critical",L99="High"),"Prioritize in sample and validate remediation","Standard monitoring")))</x:f>
      </x:c>
    </x:row>
    <x:row r="100">
      <x:c r="A100" s="37"/>
      <x:c r="B100" s="37"/>
      <x:c r="C100" s="53"/>
      <x:c r="D100" s="37"/>
      <x:c r="E100" s="37"/>
      <x:c r="F100" s="37"/>
      <x:c r="G100" s="37"/>
      <x:c r="H100" s="37"/>
      <x:c r="I100" s="37"/>
      <x:c r="J100" s="37"/>
      <x:c r="K100" s="37"/>
      <x:c r="L100" s="37" t="str">
        <x:f>IF(K100="","",IF(K100&gt;=80,"Critical",IF(K100&gt;=60,"High",IF(K100&gt;=35,"Medium","Low"))))</x:f>
      </x:c>
      <x:c r="M100" s="37" t="str">
        <x:f>IF(L100="","",IF(AND(OR(G100="Outsourced labor supplier",G100="Long-term service supplier"),H100&lt;&gt;"Valid 2026 certificate"),"Obtain valid MoHRE certificate before deployment or renewal",IF(OR(L100="Critical",L100="High"),"Prioritize in sample and validate remediation","Standard monitoring")))</x:f>
      </x:c>
    </x:row>
    <x:row r="101">
      <x:c r="A101" s="37"/>
      <x:c r="B101" s="37"/>
      <x:c r="C101" s="53"/>
      <x:c r="D101" s="37"/>
      <x:c r="E101" s="37"/>
      <x:c r="F101" s="37"/>
      <x:c r="G101" s="37"/>
      <x:c r="H101" s="37"/>
      <x:c r="I101" s="37"/>
      <x:c r="J101" s="37"/>
      <x:c r="K101" s="37"/>
      <x:c r="L101" s="37" t="str">
        <x:f>IF(K101="","",IF(K101&gt;=80,"Critical",IF(K101&gt;=60,"High",IF(K101&gt;=35,"Medium","Low"))))</x:f>
      </x:c>
      <x:c r="M101" s="37" t="str">
        <x:f>IF(L101="","",IF(AND(OR(G101="Outsourced labor supplier",G101="Long-term service supplier"),H101&lt;&gt;"Valid 2026 certificate"),"Obtain valid MoHRE certificate before deployment or renewal",IF(OR(L101="Critical",L101="High"),"Prioritize in sample and validate remediation","Standard monitoring")))</x:f>
      </x:c>
    </x:row>
    <x:row r="102">
      <x:c r="A102" s="37"/>
      <x:c r="B102" s="37"/>
      <x:c r="C102" s="53"/>
      <x:c r="D102" s="37"/>
      <x:c r="E102" s="37"/>
      <x:c r="F102" s="37"/>
      <x:c r="G102" s="37"/>
      <x:c r="H102" s="37"/>
      <x:c r="I102" s="37"/>
      <x:c r="J102" s="37"/>
      <x:c r="K102" s="37"/>
      <x:c r="L102" s="37" t="str">
        <x:f>IF(K102="","",IF(K102&gt;=80,"Critical",IF(K102&gt;=60,"High",IF(K102&gt;=35,"Medium","Low"))))</x:f>
      </x:c>
      <x:c r="M102" s="37" t="str">
        <x:f>IF(L102="","",IF(AND(OR(G102="Outsourced labor supplier",G102="Long-term service supplier"),H102&lt;&gt;"Valid 2026 certificate"),"Obtain valid MoHRE certificate before deployment or renewal",IF(OR(L102="Critical",L102="High"),"Prioritize in sample and validate remediation","Standard monitoring")))</x:f>
      </x:c>
    </x:row>
    <x:row r="103">
      <x:c r="A103" s="37"/>
      <x:c r="B103" s="37"/>
      <x:c r="C103" s="53"/>
      <x:c r="D103" s="37"/>
      <x:c r="E103" s="37"/>
      <x:c r="F103" s="37"/>
      <x:c r="G103" s="37"/>
      <x:c r="H103" s="37"/>
      <x:c r="I103" s="37"/>
      <x:c r="J103" s="37"/>
      <x:c r="K103" s="37"/>
      <x:c r="L103" s="37" t="str">
        <x:f>IF(K103="","",IF(K103&gt;=80,"Critical",IF(K103&gt;=60,"High",IF(K103&gt;=35,"Medium","Low"))))</x:f>
      </x:c>
      <x:c r="M103" s="37" t="str">
        <x:f>IF(L103="","",IF(AND(OR(G103="Outsourced labor supplier",G103="Long-term service supplier"),H103&lt;&gt;"Valid 2026 certificate"),"Obtain valid MoHRE certificate before deployment or renewal",IF(OR(L103="Critical",L103="High"),"Prioritize in sample and validate remediation","Standard monitoring")))</x:f>
      </x:c>
    </x:row>
    <x:row r="104">
      <x:c r="A104" s="37"/>
      <x:c r="B104" s="37"/>
      <x:c r="C104" s="53"/>
      <x:c r="D104" s="37"/>
      <x:c r="E104" s="37"/>
      <x:c r="F104" s="37"/>
      <x:c r="G104" s="37"/>
      <x:c r="H104" s="37"/>
      <x:c r="I104" s="37"/>
      <x:c r="J104" s="37"/>
      <x:c r="K104" s="37"/>
      <x:c r="L104" s="37" t="str">
        <x:f>IF(K104="","",IF(K104&gt;=80,"Critical",IF(K104&gt;=60,"High",IF(K104&gt;=35,"Medium","Low"))))</x:f>
      </x:c>
      <x:c r="M104" s="37" t="str">
        <x:f>IF(L104="","",IF(AND(OR(G104="Outsourced labor supplier",G104="Long-term service supplier"),H104&lt;&gt;"Valid 2026 certificate"),"Obtain valid MoHRE certificate before deployment or renewal",IF(OR(L104="Critical",L104="High"),"Prioritize in sample and validate remediation","Standard monitoring")))</x:f>
      </x:c>
    </x:row>
    <x:row r="105">
      <x:c r="A105" s="37"/>
      <x:c r="B105" s="37"/>
      <x:c r="C105" s="53"/>
      <x:c r="D105" s="37"/>
      <x:c r="E105" s="37"/>
      <x:c r="F105" s="37"/>
      <x:c r="G105" s="37"/>
      <x:c r="H105" s="37"/>
      <x:c r="I105" s="37"/>
      <x:c r="J105" s="37"/>
      <x:c r="K105" s="37"/>
      <x:c r="L105" s="37" t="str">
        <x:f>IF(K105="","",IF(K105&gt;=80,"Critical",IF(K105&gt;=60,"High",IF(K105&gt;=35,"Medium","Low"))))</x:f>
      </x:c>
      <x:c r="M105" s="37" t="str">
        <x:f>IF(L105="","",IF(AND(OR(G105="Outsourced labor supplier",G105="Long-term service supplier"),H105&lt;&gt;"Valid 2026 certificate"),"Obtain valid MoHRE certificate before deployment or renewal",IF(OR(L105="Critical",L105="High"),"Prioritize in sample and validate remediation","Standard monitoring")))</x:f>
      </x:c>
    </x:row>
    <x:row r="106">
      <x:c r="A106" s="37"/>
      <x:c r="B106" s="37"/>
      <x:c r="C106" s="53"/>
      <x:c r="D106" s="37"/>
      <x:c r="E106" s="37"/>
      <x:c r="F106" s="37"/>
      <x:c r="G106" s="37"/>
      <x:c r="H106" s="37"/>
      <x:c r="I106" s="37"/>
      <x:c r="J106" s="37"/>
      <x:c r="K106" s="37"/>
      <x:c r="L106" s="37" t="str">
        <x:f>IF(K106="","",IF(K106&gt;=80,"Critical",IF(K106&gt;=60,"High",IF(K106&gt;=35,"Medium","Low"))))</x:f>
      </x:c>
      <x:c r="M106" s="37" t="str">
        <x:f>IF(L106="","",IF(AND(OR(G106="Outsourced labor supplier",G106="Long-term service supplier"),H106&lt;&gt;"Valid 2026 certificate"),"Obtain valid MoHRE certificate before deployment or renewal",IF(OR(L106="Critical",L106="High"),"Prioritize in sample and validate remediation","Standard monitoring")))</x:f>
      </x:c>
    </x:row>
    <x:row r="107">
      <x:c r="A107" s="37"/>
      <x:c r="B107" s="37"/>
      <x:c r="C107" s="53"/>
      <x:c r="D107" s="37"/>
      <x:c r="E107" s="37"/>
      <x:c r="F107" s="37"/>
      <x:c r="G107" s="37"/>
      <x:c r="H107" s="37"/>
      <x:c r="I107" s="37"/>
      <x:c r="J107" s="37"/>
      <x:c r="K107" s="37"/>
      <x:c r="L107" s="37" t="str">
        <x:f>IF(K107="","",IF(K107&gt;=80,"Critical",IF(K107&gt;=60,"High",IF(K107&gt;=35,"Medium","Low"))))</x:f>
      </x:c>
      <x:c r="M107" s="37" t="str">
        <x:f>IF(L107="","",IF(AND(OR(G107="Outsourced labor supplier",G107="Long-term service supplier"),H107&lt;&gt;"Valid 2026 certificate"),"Obtain valid MoHRE certificate before deployment or renewal",IF(OR(L107="Critical",L107="High"),"Prioritize in sample and validate remediation","Standard monitoring")))</x:f>
      </x:c>
    </x:row>
    <x:row r="108">
      <x:c r="A108" s="37"/>
      <x:c r="B108" s="37"/>
      <x:c r="C108" s="53"/>
      <x:c r="D108" s="37"/>
      <x:c r="E108" s="37"/>
      <x:c r="F108" s="37"/>
      <x:c r="G108" s="37"/>
      <x:c r="H108" s="37"/>
      <x:c r="I108" s="37"/>
      <x:c r="J108" s="37"/>
      <x:c r="K108" s="37"/>
      <x:c r="L108" s="37" t="str">
        <x:f>IF(K108="","",IF(K108&gt;=80,"Critical",IF(K108&gt;=60,"High",IF(K108&gt;=35,"Medium","Low"))))</x:f>
      </x:c>
      <x:c r="M108" s="37" t="str">
        <x:f>IF(L108="","",IF(AND(OR(G108="Outsourced labor supplier",G108="Long-term service supplier"),H108&lt;&gt;"Valid 2026 certificate"),"Obtain valid MoHRE certificate before deployment or renewal",IF(OR(L108="Critical",L108="High"),"Prioritize in sample and validate remediation","Standard monitoring")))</x:f>
      </x:c>
    </x:row>
    <x:row r="109">
      <x:c r="A109" s="37"/>
      <x:c r="B109" s="37"/>
      <x:c r="C109" s="53"/>
      <x:c r="D109" s="37"/>
      <x:c r="E109" s="37"/>
      <x:c r="F109" s="37"/>
      <x:c r="G109" s="37"/>
      <x:c r="H109" s="37"/>
      <x:c r="I109" s="37"/>
      <x:c r="J109" s="37"/>
      <x:c r="K109" s="37"/>
      <x:c r="L109" s="37" t="str">
        <x:f>IF(K109="","",IF(K109&gt;=80,"Critical",IF(K109&gt;=60,"High",IF(K109&gt;=35,"Medium","Low"))))</x:f>
      </x:c>
      <x:c r="M109" s="37" t="str">
        <x:f>IF(L109="","",IF(AND(OR(G109="Outsourced labor supplier",G109="Long-term service supplier"),H109&lt;&gt;"Valid 2026 certificate"),"Obtain valid MoHRE certificate before deployment or renewal",IF(OR(L109="Critical",L109="High"),"Prioritize in sample and validate remediation","Standard monitoring")))</x:f>
      </x:c>
    </x:row>
    <x:row r="110">
      <x:c r="A110" s="37"/>
      <x:c r="B110" s="37"/>
      <x:c r="C110" s="53"/>
      <x:c r="D110" s="37"/>
      <x:c r="E110" s="37"/>
      <x:c r="F110" s="37"/>
      <x:c r="G110" s="37"/>
      <x:c r="H110" s="37"/>
      <x:c r="I110" s="37"/>
      <x:c r="J110" s="37"/>
      <x:c r="K110" s="37"/>
      <x:c r="L110" s="37" t="str">
        <x:f>IF(K110="","",IF(K110&gt;=80,"Critical",IF(K110&gt;=60,"High",IF(K110&gt;=35,"Medium","Low"))))</x:f>
      </x:c>
      <x:c r="M110" s="37" t="str">
        <x:f>IF(L110="","",IF(AND(OR(G110="Outsourced labor supplier",G110="Long-term service supplier"),H110&lt;&gt;"Valid 2026 certificate"),"Obtain valid MoHRE certificate before deployment or renewal",IF(OR(L110="Critical",L110="High"),"Prioritize in sample and validate remediation","Standard monitoring")))</x:f>
      </x:c>
    </x:row>
    <x:row r="111">
      <x:c r="A111" s="37"/>
      <x:c r="B111" s="37"/>
      <x:c r="C111" s="53"/>
      <x:c r="D111" s="37"/>
      <x:c r="E111" s="37"/>
      <x:c r="F111" s="37"/>
      <x:c r="G111" s="37"/>
      <x:c r="H111" s="37"/>
      <x:c r="I111" s="37"/>
      <x:c r="J111" s="37"/>
      <x:c r="K111" s="37"/>
      <x:c r="L111" s="37" t="str">
        <x:f>IF(K111="","",IF(K111&gt;=80,"Critical",IF(K111&gt;=60,"High",IF(K111&gt;=35,"Medium","Low"))))</x:f>
      </x:c>
      <x:c r="M111" s="37" t="str">
        <x:f>IF(L111="","",IF(AND(OR(G111="Outsourced labor supplier",G111="Long-term service supplier"),H111&lt;&gt;"Valid 2026 certificate"),"Obtain valid MoHRE certificate before deployment or renewal",IF(OR(L111="Critical",L111="High"),"Prioritize in sample and validate remediation","Standard monitoring")))</x:f>
      </x:c>
    </x:row>
    <x:row r="112">
      <x:c r="A112" s="37"/>
      <x:c r="B112" s="37"/>
      <x:c r="C112" s="53"/>
      <x:c r="D112" s="37"/>
      <x:c r="E112" s="37"/>
      <x:c r="F112" s="37"/>
      <x:c r="G112" s="37"/>
      <x:c r="H112" s="37"/>
      <x:c r="I112" s="37"/>
      <x:c r="J112" s="37"/>
      <x:c r="K112" s="37"/>
      <x:c r="L112" s="37" t="str">
        <x:f>IF(K112="","",IF(K112&gt;=80,"Critical",IF(K112&gt;=60,"High",IF(K112&gt;=35,"Medium","Low"))))</x:f>
      </x:c>
      <x:c r="M112" s="37" t="str">
        <x:f>IF(L112="","",IF(AND(OR(G112="Outsourced labor supplier",G112="Long-term service supplier"),H112&lt;&gt;"Valid 2026 certificate"),"Obtain valid MoHRE certificate before deployment or renewal",IF(OR(L112="Critical",L112="High"),"Prioritize in sample and validate remediation","Standard monitoring")))</x:f>
      </x:c>
    </x:row>
    <x:row r="113">
      <x:c r="A113" s="37"/>
      <x:c r="B113" s="37"/>
      <x:c r="C113" s="53"/>
      <x:c r="D113" s="37"/>
      <x:c r="E113" s="37"/>
      <x:c r="F113" s="37"/>
      <x:c r="G113" s="37"/>
      <x:c r="H113" s="37"/>
      <x:c r="I113" s="37"/>
      <x:c r="J113" s="37"/>
      <x:c r="K113" s="37"/>
      <x:c r="L113" s="37" t="str">
        <x:f>IF(K113="","",IF(K113&gt;=80,"Critical",IF(K113&gt;=60,"High",IF(K113&gt;=35,"Medium","Low"))))</x:f>
      </x:c>
      <x:c r="M113" s="37" t="str">
        <x:f>IF(L113="","",IF(AND(OR(G113="Outsourced labor supplier",G113="Long-term service supplier"),H113&lt;&gt;"Valid 2026 certificate"),"Obtain valid MoHRE certificate before deployment or renewal",IF(OR(L113="Critical",L113="High"),"Prioritize in sample and validate remediation","Standard monitoring")))</x:f>
      </x:c>
    </x:row>
    <x:row r="114">
      <x:c r="A114" s="37"/>
      <x:c r="B114" s="37"/>
      <x:c r="C114" s="53"/>
      <x:c r="D114" s="37"/>
      <x:c r="E114" s="37"/>
      <x:c r="F114" s="37"/>
      <x:c r="G114" s="37"/>
      <x:c r="H114" s="37"/>
      <x:c r="I114" s="37"/>
      <x:c r="J114" s="37"/>
      <x:c r="K114" s="37"/>
      <x:c r="L114" s="37" t="str">
        <x:f>IF(K114="","",IF(K114&gt;=80,"Critical",IF(K114&gt;=60,"High",IF(K114&gt;=35,"Medium","Low"))))</x:f>
      </x:c>
      <x:c r="M114" s="37" t="str">
        <x:f>IF(L114="","",IF(AND(OR(G114="Outsourced labor supplier",G114="Long-term service supplier"),H114&lt;&gt;"Valid 2026 certificate"),"Obtain valid MoHRE certificate before deployment or renewal",IF(OR(L114="Critical",L114="High"),"Prioritize in sample and validate remediation","Standard monitoring")))</x:f>
      </x:c>
    </x:row>
    <x:row r="115">
      <x:c r="A115" s="37"/>
      <x:c r="B115" s="37"/>
      <x:c r="C115" s="53"/>
      <x:c r="D115" s="37"/>
      <x:c r="E115" s="37"/>
      <x:c r="F115" s="37"/>
      <x:c r="G115" s="37"/>
      <x:c r="H115" s="37"/>
      <x:c r="I115" s="37"/>
      <x:c r="J115" s="37"/>
      <x:c r="K115" s="37"/>
      <x:c r="L115" s="37" t="str">
        <x:f>IF(K115="","",IF(K115&gt;=80,"Critical",IF(K115&gt;=60,"High",IF(K115&gt;=35,"Medium","Low"))))</x:f>
      </x:c>
      <x:c r="M115" s="37" t="str">
        <x:f>IF(L115="","",IF(AND(OR(G115="Outsourced labor supplier",G115="Long-term service supplier"),H115&lt;&gt;"Valid 2026 certificate"),"Obtain valid MoHRE certificate before deployment or renewal",IF(OR(L115="Critical",L115="High"),"Prioritize in sample and validate remediation","Standard monitoring")))</x:f>
      </x:c>
    </x:row>
    <x:row r="116">
      <x:c r="A116" s="37"/>
      <x:c r="B116" s="37"/>
      <x:c r="C116" s="53"/>
      <x:c r="D116" s="37"/>
      <x:c r="E116" s="37"/>
      <x:c r="F116" s="37"/>
      <x:c r="G116" s="37"/>
      <x:c r="H116" s="37"/>
      <x:c r="I116" s="37"/>
      <x:c r="J116" s="37"/>
      <x:c r="K116" s="37"/>
      <x:c r="L116" s="37" t="str">
        <x:f>IF(K116="","",IF(K116&gt;=80,"Critical",IF(K116&gt;=60,"High",IF(K116&gt;=35,"Medium","Low"))))</x:f>
      </x:c>
      <x:c r="M116" s="37" t="str">
        <x:f>IF(L116="","",IF(AND(OR(G116="Outsourced labor supplier",G116="Long-term service supplier"),H116&lt;&gt;"Valid 2026 certificate"),"Obtain valid MoHRE certificate before deployment or renewal",IF(OR(L116="Critical",L116="High"),"Prioritize in sample and validate remediation","Standard monitoring")))</x:f>
      </x:c>
    </x:row>
    <x:row r="117">
      <x:c r="A117" s="37"/>
      <x:c r="B117" s="37"/>
      <x:c r="C117" s="53"/>
      <x:c r="D117" s="37"/>
      <x:c r="E117" s="37"/>
      <x:c r="F117" s="37"/>
      <x:c r="G117" s="37"/>
      <x:c r="H117" s="37"/>
      <x:c r="I117" s="37"/>
      <x:c r="J117" s="37"/>
      <x:c r="K117" s="37"/>
      <x:c r="L117" s="37" t="str">
        <x:f>IF(K117="","",IF(K117&gt;=80,"Critical",IF(K117&gt;=60,"High",IF(K117&gt;=35,"Medium","Low"))))</x:f>
      </x:c>
      <x:c r="M117" s="37" t="str">
        <x:f>IF(L117="","",IF(AND(OR(G117="Outsourced labor supplier",G117="Long-term service supplier"),H117&lt;&gt;"Valid 2026 certificate"),"Obtain valid MoHRE certificate before deployment or renewal",IF(OR(L117="Critical",L117="High"),"Prioritize in sample and validate remediation","Standard monitoring")))</x:f>
      </x:c>
    </x:row>
    <x:row r="118">
      <x:c r="A118" s="37"/>
      <x:c r="B118" s="37"/>
      <x:c r="C118" s="53"/>
      <x:c r="D118" s="37"/>
      <x:c r="E118" s="37"/>
      <x:c r="F118" s="37"/>
      <x:c r="G118" s="37"/>
      <x:c r="H118" s="37"/>
      <x:c r="I118" s="37"/>
      <x:c r="J118" s="37"/>
      <x:c r="K118" s="37"/>
      <x:c r="L118" s="37" t="str">
        <x:f>IF(K118="","",IF(K118&gt;=80,"Critical",IF(K118&gt;=60,"High",IF(K118&gt;=35,"Medium","Low"))))</x:f>
      </x:c>
      <x:c r="M118" s="37" t="str">
        <x:f>IF(L118="","",IF(AND(OR(G118="Outsourced labor supplier",G118="Long-term service supplier"),H118&lt;&gt;"Valid 2026 certificate"),"Obtain valid MoHRE certificate before deployment or renewal",IF(OR(L118="Critical",L118="High"),"Prioritize in sample and validate remediation","Standard monitoring")))</x:f>
      </x:c>
    </x:row>
    <x:row r="119">
      <x:c r="A119" s="37"/>
      <x:c r="B119" s="37"/>
      <x:c r="C119" s="53"/>
      <x:c r="D119" s="37"/>
      <x:c r="E119" s="37"/>
      <x:c r="F119" s="37"/>
      <x:c r="G119" s="37"/>
      <x:c r="H119" s="37"/>
      <x:c r="I119" s="37"/>
      <x:c r="J119" s="37"/>
      <x:c r="K119" s="37"/>
      <x:c r="L119" s="37" t="str">
        <x:f>IF(K119="","",IF(K119&gt;=80,"Critical",IF(K119&gt;=60,"High",IF(K119&gt;=35,"Medium","Low"))))</x:f>
      </x:c>
      <x:c r="M119" s="37" t="str">
        <x:f>IF(L119="","",IF(AND(OR(G119="Outsourced labor supplier",G119="Long-term service supplier"),H119&lt;&gt;"Valid 2026 certificate"),"Obtain valid MoHRE certificate before deployment or renewal",IF(OR(L119="Critical",L119="High"),"Prioritize in sample and validate remediation","Standard monitoring")))</x:f>
      </x:c>
    </x:row>
    <x:row r="120">
      <x:c r="A120" s="37"/>
      <x:c r="B120" s="37"/>
      <x:c r="C120" s="53"/>
      <x:c r="D120" s="37"/>
      <x:c r="E120" s="37"/>
      <x:c r="F120" s="37"/>
      <x:c r="G120" s="37"/>
      <x:c r="H120" s="37"/>
      <x:c r="I120" s="37"/>
      <x:c r="J120" s="37"/>
      <x:c r="K120" s="37"/>
      <x:c r="L120" s="37" t="str">
        <x:f>IF(K120="","",IF(K120&gt;=80,"Critical",IF(K120&gt;=60,"High",IF(K120&gt;=35,"Medium","Low"))))</x:f>
      </x:c>
      <x:c r="M120" s="37" t="str">
        <x:f>IF(L120="","",IF(AND(OR(G120="Outsourced labor supplier",G120="Long-term service supplier"),H120&lt;&gt;"Valid 2026 certificate"),"Obtain valid MoHRE certificate before deployment or renewal",IF(OR(L120="Critical",L120="High"),"Prioritize in sample and validate remediation","Standard monitoring")))</x:f>
      </x:c>
    </x:row>
    <x:row r="121">
      <x:c r="A121" s="37"/>
      <x:c r="B121" s="37"/>
      <x:c r="C121" s="53"/>
      <x:c r="D121" s="37"/>
      <x:c r="E121" s="37"/>
      <x:c r="F121" s="37"/>
      <x:c r="G121" s="37"/>
      <x:c r="H121" s="37"/>
      <x:c r="I121" s="37"/>
      <x:c r="J121" s="37"/>
      <x:c r="K121" s="37"/>
      <x:c r="L121" s="37" t="str">
        <x:f>IF(K121="","",IF(K121&gt;=80,"Critical",IF(K121&gt;=60,"High",IF(K121&gt;=35,"Medium","Low"))))</x:f>
      </x:c>
      <x:c r="M121" s="37" t="str">
        <x:f>IF(L121="","",IF(AND(OR(G121="Outsourced labor supplier",G121="Long-term service supplier"),H121&lt;&gt;"Valid 2026 certificate"),"Obtain valid MoHRE certificate before deployment or renewal",IF(OR(L121="Critical",L121="High"),"Prioritize in sample and validate remediation","Standard monitoring")))</x:f>
      </x:c>
    </x:row>
    <x:row r="122">
      <x:c r="A122" s="37"/>
      <x:c r="B122" s="37"/>
      <x:c r="C122" s="53"/>
      <x:c r="D122" s="37"/>
      <x:c r="E122" s="37"/>
      <x:c r="F122" s="37"/>
      <x:c r="G122" s="37"/>
      <x:c r="H122" s="37"/>
      <x:c r="I122" s="37"/>
      <x:c r="J122" s="37"/>
      <x:c r="K122" s="37"/>
      <x:c r="L122" s="37" t="str">
        <x:f>IF(K122="","",IF(K122&gt;=80,"Critical",IF(K122&gt;=60,"High",IF(K122&gt;=35,"Medium","Low"))))</x:f>
      </x:c>
      <x:c r="M122" s="37" t="str">
        <x:f>IF(L122="","",IF(AND(OR(G122="Outsourced labor supplier",G122="Long-term service supplier"),H122&lt;&gt;"Valid 2026 certificate"),"Obtain valid MoHRE certificate before deployment or renewal",IF(OR(L122="Critical",L122="High"),"Prioritize in sample and validate remediation","Standard monitoring")))</x:f>
      </x:c>
    </x:row>
    <x:row r="123">
      <x:c r="A123" s="37"/>
      <x:c r="B123" s="37"/>
      <x:c r="C123" s="53"/>
      <x:c r="D123" s="37"/>
      <x:c r="E123" s="37"/>
      <x:c r="F123" s="37"/>
      <x:c r="G123" s="37"/>
      <x:c r="H123" s="37"/>
      <x:c r="I123" s="37"/>
      <x:c r="J123" s="37"/>
      <x:c r="K123" s="37"/>
      <x:c r="L123" s="37" t="str">
        <x:f>IF(K123="","",IF(K123&gt;=80,"Critical",IF(K123&gt;=60,"High",IF(K123&gt;=35,"Medium","Low"))))</x:f>
      </x:c>
      <x:c r="M123" s="37" t="str">
        <x:f>IF(L123="","",IF(AND(OR(G123="Outsourced labor supplier",G123="Long-term service supplier"),H123&lt;&gt;"Valid 2026 certificate"),"Obtain valid MoHRE certificate before deployment or renewal",IF(OR(L123="Critical",L123="High"),"Prioritize in sample and validate remediation","Standard monitoring")))</x:f>
      </x:c>
    </x:row>
    <x:row r="124">
      <x:c r="A124" s="37"/>
      <x:c r="B124" s="37"/>
      <x:c r="C124" s="53"/>
      <x:c r="D124" s="37"/>
      <x:c r="E124" s="37"/>
      <x:c r="F124" s="37"/>
      <x:c r="G124" s="37"/>
      <x:c r="H124" s="37"/>
      <x:c r="I124" s="37"/>
      <x:c r="J124" s="37"/>
      <x:c r="K124" s="37"/>
      <x:c r="L124" s="37" t="str">
        <x:f>IF(K124="","",IF(K124&gt;=80,"Critical",IF(K124&gt;=60,"High",IF(K124&gt;=35,"Medium","Low"))))</x:f>
      </x:c>
      <x:c r="M124" s="37" t="str">
        <x:f>IF(L124="","",IF(AND(OR(G124="Outsourced labor supplier",G124="Long-term service supplier"),H124&lt;&gt;"Valid 2026 certificate"),"Obtain valid MoHRE certificate before deployment or renewal",IF(OR(L124="Critical",L124="High"),"Prioritize in sample and validate remediation","Standard monitoring")))</x:f>
      </x:c>
    </x:row>
    <x:row r="125">
      <x:c r="A125" s="37"/>
      <x:c r="B125" s="37"/>
      <x:c r="C125" s="53"/>
      <x:c r="D125" s="37"/>
      <x:c r="E125" s="37"/>
      <x:c r="F125" s="37"/>
      <x:c r="G125" s="37"/>
      <x:c r="H125" s="37"/>
      <x:c r="I125" s="37"/>
      <x:c r="J125" s="37"/>
      <x:c r="K125" s="37"/>
      <x:c r="L125" s="37" t="str">
        <x:f>IF(K125="","",IF(K125&gt;=80,"Critical",IF(K125&gt;=60,"High",IF(K125&gt;=35,"Medium","Low"))))</x:f>
      </x:c>
      <x:c r="M125" s="37" t="str">
        <x:f>IF(L125="","",IF(AND(OR(G125="Outsourced labor supplier",G125="Long-term service supplier"),H125&lt;&gt;"Valid 2026 certificate"),"Obtain valid MoHRE certificate before deployment or renewal",IF(OR(L125="Critical",L125="High"),"Prioritize in sample and validate remediation","Standard monitoring")))</x:f>
      </x:c>
    </x:row>
    <x:row r="126">
      <x:c r="A126" s="37"/>
      <x:c r="B126" s="37"/>
      <x:c r="C126" s="53"/>
      <x:c r="D126" s="37"/>
      <x:c r="E126" s="37"/>
      <x:c r="F126" s="37"/>
      <x:c r="G126" s="37"/>
      <x:c r="H126" s="37"/>
      <x:c r="I126" s="37"/>
      <x:c r="J126" s="37"/>
      <x:c r="K126" s="37"/>
      <x:c r="L126" s="37" t="str">
        <x:f>IF(K126="","",IF(K126&gt;=80,"Critical",IF(K126&gt;=60,"High",IF(K126&gt;=35,"Medium","Low"))))</x:f>
      </x:c>
      <x:c r="M126" s="37" t="str">
        <x:f>IF(L126="","",IF(AND(OR(G126="Outsourced labor supplier",G126="Long-term service supplier"),H126&lt;&gt;"Valid 2026 certificate"),"Obtain valid MoHRE certificate before deployment or renewal",IF(OR(L126="Critical",L126="High"),"Prioritize in sample and validate remediation","Standard monitoring")))</x:f>
      </x:c>
    </x:row>
    <x:row r="127">
      <x:c r="A127" s="37"/>
      <x:c r="B127" s="37"/>
      <x:c r="C127" s="53"/>
      <x:c r="D127" s="37"/>
      <x:c r="E127" s="37"/>
      <x:c r="F127" s="37"/>
      <x:c r="G127" s="37"/>
      <x:c r="H127" s="37"/>
      <x:c r="I127" s="37"/>
      <x:c r="J127" s="37"/>
      <x:c r="K127" s="37"/>
      <x:c r="L127" s="37" t="str">
        <x:f>IF(K127="","",IF(K127&gt;=80,"Critical",IF(K127&gt;=60,"High",IF(K127&gt;=35,"Medium","Low"))))</x:f>
      </x:c>
      <x:c r="M127" s="37" t="str">
        <x:f>IF(L127="","",IF(AND(OR(G127="Outsourced labor supplier",G127="Long-term service supplier"),H127&lt;&gt;"Valid 2026 certificate"),"Obtain valid MoHRE certificate before deployment or renewal",IF(OR(L127="Critical",L127="High"),"Prioritize in sample and validate remediation","Standard monitoring")))</x:f>
      </x:c>
    </x:row>
    <x:row r="128">
      <x:c r="A128" s="37"/>
      <x:c r="B128" s="37"/>
      <x:c r="C128" s="53"/>
      <x:c r="D128" s="37"/>
      <x:c r="E128" s="37"/>
      <x:c r="F128" s="37"/>
      <x:c r="G128" s="37"/>
      <x:c r="H128" s="37"/>
      <x:c r="I128" s="37"/>
      <x:c r="J128" s="37"/>
      <x:c r="K128" s="37"/>
      <x:c r="L128" s="37" t="str">
        <x:f>IF(K128="","",IF(K128&gt;=80,"Critical",IF(K128&gt;=60,"High",IF(K128&gt;=35,"Medium","Low"))))</x:f>
      </x:c>
      <x:c r="M128" s="37" t="str">
        <x:f>IF(L128="","",IF(AND(OR(G128="Outsourced labor supplier",G128="Long-term service supplier"),H128&lt;&gt;"Valid 2026 certificate"),"Obtain valid MoHRE certificate before deployment or renewal",IF(OR(L128="Critical",L128="High"),"Prioritize in sample and validate remediation","Standard monitoring")))</x:f>
      </x:c>
    </x:row>
    <x:row r="129">
      <x:c r="A129" s="37"/>
      <x:c r="B129" s="37"/>
      <x:c r="C129" s="53"/>
      <x:c r="D129" s="37"/>
      <x:c r="E129" s="37"/>
      <x:c r="F129" s="37"/>
      <x:c r="G129" s="37"/>
      <x:c r="H129" s="37"/>
      <x:c r="I129" s="37"/>
      <x:c r="J129" s="37"/>
      <x:c r="K129" s="37"/>
      <x:c r="L129" s="37" t="str">
        <x:f>IF(K129="","",IF(K129&gt;=80,"Critical",IF(K129&gt;=60,"High",IF(K129&gt;=35,"Medium","Low"))))</x:f>
      </x:c>
      <x:c r="M129" s="37" t="str">
        <x:f>IF(L129="","",IF(AND(OR(G129="Outsourced labor supplier",G129="Long-term service supplier"),H129&lt;&gt;"Valid 2026 certificate"),"Obtain valid MoHRE certificate before deployment or renewal",IF(OR(L129="Critical",L129="High"),"Prioritize in sample and validate remediation","Standard monitoring")))</x:f>
      </x:c>
    </x:row>
    <x:row r="130">
      <x:c r="A130" s="37"/>
      <x:c r="B130" s="37"/>
      <x:c r="C130" s="53"/>
      <x:c r="D130" s="37"/>
      <x:c r="E130" s="37"/>
      <x:c r="F130" s="37"/>
      <x:c r="G130" s="37"/>
      <x:c r="H130" s="37"/>
      <x:c r="I130" s="37"/>
      <x:c r="J130" s="37"/>
      <x:c r="K130" s="37"/>
      <x:c r="L130" s="37" t="str">
        <x:f>IF(K130="","",IF(K130&gt;=80,"Critical",IF(K130&gt;=60,"High",IF(K130&gt;=35,"Medium","Low"))))</x:f>
      </x:c>
      <x:c r="M130" s="37" t="str">
        <x:f>IF(L130="","",IF(AND(OR(G130="Outsourced labor supplier",G130="Long-term service supplier"),H130&lt;&gt;"Valid 2026 certificate"),"Obtain valid MoHRE certificate before deployment or renewal",IF(OR(L130="Critical",L130="High"),"Prioritize in sample and validate remediation","Standard monitoring")))</x:f>
      </x:c>
    </x:row>
    <x:row r="131">
      <x:c r="A131" s="37"/>
      <x:c r="B131" s="37"/>
      <x:c r="C131" s="53"/>
      <x:c r="D131" s="37"/>
      <x:c r="E131" s="37"/>
      <x:c r="F131" s="37"/>
      <x:c r="G131" s="37"/>
      <x:c r="H131" s="37"/>
      <x:c r="I131" s="37"/>
      <x:c r="J131" s="37"/>
      <x:c r="K131" s="37"/>
      <x:c r="L131" s="37" t="str">
        <x:f>IF(K131="","",IF(K131&gt;=80,"Critical",IF(K131&gt;=60,"High",IF(K131&gt;=35,"Medium","Low"))))</x:f>
      </x:c>
      <x:c r="M131" s="37" t="str">
        <x:f>IF(L131="","",IF(AND(OR(G131="Outsourced labor supplier",G131="Long-term service supplier"),H131&lt;&gt;"Valid 2026 certificate"),"Obtain valid MoHRE certificate before deployment or renewal",IF(OR(L131="Critical",L131="High"),"Prioritize in sample and validate remediation","Standard monitoring")))</x:f>
      </x:c>
    </x:row>
    <x:row r="132">
      <x:c r="A132" s="37"/>
      <x:c r="B132" s="37"/>
      <x:c r="C132" s="53"/>
      <x:c r="D132" s="37"/>
      <x:c r="E132" s="37"/>
      <x:c r="F132" s="37"/>
      <x:c r="G132" s="37"/>
      <x:c r="H132" s="37"/>
      <x:c r="I132" s="37"/>
      <x:c r="J132" s="37"/>
      <x:c r="K132" s="37"/>
      <x:c r="L132" s="37" t="str">
        <x:f>IF(K132="","",IF(K132&gt;=80,"Critical",IF(K132&gt;=60,"High",IF(K132&gt;=35,"Medium","Low"))))</x:f>
      </x:c>
      <x:c r="M132" s="37" t="str">
        <x:f>IF(L132="","",IF(AND(OR(G132="Outsourced labor supplier",G132="Long-term service supplier"),H132&lt;&gt;"Valid 2026 certificate"),"Obtain valid MoHRE certificate before deployment or renewal",IF(OR(L132="Critical",L132="High"),"Prioritize in sample and validate remediation","Standard monitoring")))</x:f>
      </x:c>
    </x:row>
    <x:row r="133">
      <x:c r="A133" s="37"/>
      <x:c r="B133" s="37"/>
      <x:c r="C133" s="53"/>
      <x:c r="D133" s="37"/>
      <x:c r="E133" s="37"/>
      <x:c r="F133" s="37"/>
      <x:c r="G133" s="37"/>
      <x:c r="H133" s="37"/>
      <x:c r="I133" s="37"/>
      <x:c r="J133" s="37"/>
      <x:c r="K133" s="37"/>
      <x:c r="L133" s="37" t="str">
        <x:f>IF(K133="","",IF(K133&gt;=80,"Critical",IF(K133&gt;=60,"High",IF(K133&gt;=35,"Medium","Low"))))</x:f>
      </x:c>
      <x:c r="M133" s="37" t="str">
        <x:f>IF(L133="","",IF(AND(OR(G133="Outsourced labor supplier",G133="Long-term service supplier"),H133&lt;&gt;"Valid 2026 certificate"),"Obtain valid MoHRE certificate before deployment or renewal",IF(OR(L133="Critical",L133="High"),"Prioritize in sample and validate remediation","Standard monitoring")))</x:f>
      </x:c>
    </x:row>
    <x:row r="134">
      <x:c r="A134" s="37"/>
      <x:c r="B134" s="37"/>
      <x:c r="C134" s="53"/>
      <x:c r="D134" s="37"/>
      <x:c r="E134" s="37"/>
      <x:c r="F134" s="37"/>
      <x:c r="G134" s="37"/>
      <x:c r="H134" s="37"/>
      <x:c r="I134" s="37"/>
      <x:c r="J134" s="37"/>
      <x:c r="K134" s="37"/>
      <x:c r="L134" s="37" t="str">
        <x:f>IF(K134="","",IF(K134&gt;=80,"Critical",IF(K134&gt;=60,"High",IF(K134&gt;=35,"Medium","Low"))))</x:f>
      </x:c>
      <x:c r="M134" s="37" t="str">
        <x:f>IF(L134="","",IF(AND(OR(G134="Outsourced labor supplier",G134="Long-term service supplier"),H134&lt;&gt;"Valid 2026 certificate"),"Obtain valid MoHRE certificate before deployment or renewal",IF(OR(L134="Critical",L134="High"),"Prioritize in sample and validate remediation","Standard monitoring")))</x:f>
      </x:c>
    </x:row>
    <x:row r="135">
      <x:c r="A135" s="37"/>
      <x:c r="B135" s="37"/>
      <x:c r="C135" s="53"/>
      <x:c r="D135" s="37"/>
      <x:c r="E135" s="37"/>
      <x:c r="F135" s="37"/>
      <x:c r="G135" s="37"/>
      <x:c r="H135" s="37"/>
      <x:c r="I135" s="37"/>
      <x:c r="J135" s="37"/>
      <x:c r="K135" s="37"/>
      <x:c r="L135" s="37" t="str">
        <x:f>IF(K135="","",IF(K135&gt;=80,"Critical",IF(K135&gt;=60,"High",IF(K135&gt;=35,"Medium","Low"))))</x:f>
      </x:c>
      <x:c r="M135" s="37" t="str">
        <x:f>IF(L135="","",IF(AND(OR(G135="Outsourced labor supplier",G135="Long-term service supplier"),H135&lt;&gt;"Valid 2026 certificate"),"Obtain valid MoHRE certificate before deployment or renewal",IF(OR(L135="Critical",L135="High"),"Prioritize in sample and validate remediation","Standard monitoring")))</x:f>
      </x:c>
    </x:row>
    <x:row r="136">
      <x:c r="A136" s="37"/>
      <x:c r="B136" s="37"/>
      <x:c r="C136" s="53"/>
      <x:c r="D136" s="37"/>
      <x:c r="E136" s="37"/>
      <x:c r="F136" s="37"/>
      <x:c r="G136" s="37"/>
      <x:c r="H136" s="37"/>
      <x:c r="I136" s="37"/>
      <x:c r="J136" s="37"/>
      <x:c r="K136" s="37"/>
      <x:c r="L136" s="37" t="str">
        <x:f>IF(K136="","",IF(K136&gt;=80,"Critical",IF(K136&gt;=60,"High",IF(K136&gt;=35,"Medium","Low"))))</x:f>
      </x:c>
      <x:c r="M136" s="37" t="str">
        <x:f>IF(L136="","",IF(AND(OR(G136="Outsourced labor supplier",G136="Long-term service supplier"),H136&lt;&gt;"Valid 2026 certificate"),"Obtain valid MoHRE certificate before deployment or renewal",IF(OR(L136="Critical",L136="High"),"Prioritize in sample and validate remediation","Standard monitoring")))</x:f>
      </x:c>
    </x:row>
    <x:row r="137">
      <x:c r="A137" s="37"/>
      <x:c r="B137" s="37"/>
      <x:c r="C137" s="53"/>
      <x:c r="D137" s="37"/>
      <x:c r="E137" s="37"/>
      <x:c r="F137" s="37"/>
      <x:c r="G137" s="37"/>
      <x:c r="H137" s="37"/>
      <x:c r="I137" s="37"/>
      <x:c r="J137" s="37"/>
      <x:c r="K137" s="37"/>
      <x:c r="L137" s="37" t="str">
        <x:f>IF(K137="","",IF(K137&gt;=80,"Critical",IF(K137&gt;=60,"High",IF(K137&gt;=35,"Medium","Low"))))</x:f>
      </x:c>
      <x:c r="M137" s="37" t="str">
        <x:f>IF(L137="","",IF(AND(OR(G137="Outsourced labor supplier",G137="Long-term service supplier"),H137&lt;&gt;"Valid 2026 certificate"),"Obtain valid MoHRE certificate before deployment or renewal",IF(OR(L137="Critical",L137="High"),"Prioritize in sample and validate remediation","Standard monitoring")))</x:f>
      </x:c>
    </x:row>
    <x:row r="138">
      <x:c r="A138" s="37"/>
      <x:c r="B138" s="37"/>
      <x:c r="C138" s="53"/>
      <x:c r="D138" s="37"/>
      <x:c r="E138" s="37"/>
      <x:c r="F138" s="37"/>
      <x:c r="G138" s="37"/>
      <x:c r="H138" s="37"/>
      <x:c r="I138" s="37"/>
      <x:c r="J138" s="37"/>
      <x:c r="K138" s="37"/>
      <x:c r="L138" s="37" t="str">
        <x:f>IF(K138="","",IF(K138&gt;=80,"Critical",IF(K138&gt;=60,"High",IF(K138&gt;=35,"Medium","Low"))))</x:f>
      </x:c>
      <x:c r="M138" s="37" t="str">
        <x:f>IF(L138="","",IF(AND(OR(G138="Outsourced labor supplier",G138="Long-term service supplier"),H138&lt;&gt;"Valid 2026 certificate"),"Obtain valid MoHRE certificate before deployment or renewal",IF(OR(L138="Critical",L138="High"),"Prioritize in sample and validate remediation","Standard monitoring")))</x:f>
      </x:c>
    </x:row>
    <x:row r="139">
      <x:c r="A139" s="37"/>
      <x:c r="B139" s="37"/>
      <x:c r="C139" s="53"/>
      <x:c r="D139" s="37"/>
      <x:c r="E139" s="37"/>
      <x:c r="F139" s="37"/>
      <x:c r="G139" s="37"/>
      <x:c r="H139" s="37"/>
      <x:c r="I139" s="37"/>
      <x:c r="J139" s="37"/>
      <x:c r="K139" s="37"/>
      <x:c r="L139" s="37" t="str">
        <x:f>IF(K139="","",IF(K139&gt;=80,"Critical",IF(K139&gt;=60,"High",IF(K139&gt;=35,"Medium","Low"))))</x:f>
      </x:c>
      <x:c r="M139" s="37" t="str">
        <x:f>IF(L139="","",IF(AND(OR(G139="Outsourced labor supplier",G139="Long-term service supplier"),H139&lt;&gt;"Valid 2026 certificate"),"Obtain valid MoHRE certificate before deployment or renewal",IF(OR(L139="Critical",L139="High"),"Prioritize in sample and validate remediation","Standard monitoring")))</x:f>
      </x:c>
    </x:row>
    <x:row r="140">
      <x:c r="A140" s="37"/>
      <x:c r="B140" s="37"/>
      <x:c r="C140" s="53"/>
      <x:c r="D140" s="37"/>
      <x:c r="E140" s="37"/>
      <x:c r="F140" s="37"/>
      <x:c r="G140" s="37"/>
      <x:c r="H140" s="37"/>
      <x:c r="I140" s="37"/>
      <x:c r="J140" s="37"/>
      <x:c r="K140" s="37"/>
      <x:c r="L140" s="37" t="str">
        <x:f>IF(K140="","",IF(K140&gt;=80,"Critical",IF(K140&gt;=60,"High",IF(K140&gt;=35,"Medium","Low"))))</x:f>
      </x:c>
      <x:c r="M140" s="37" t="str">
        <x:f>IF(L140="","",IF(AND(OR(G140="Outsourced labor supplier",G140="Long-term service supplier"),H140&lt;&gt;"Valid 2026 certificate"),"Obtain valid MoHRE certificate before deployment or renewal",IF(OR(L140="Critical",L140="High"),"Prioritize in sample and validate remediation","Standard monitoring")))</x:f>
      </x:c>
    </x:row>
    <x:row r="141">
      <x:c r="A141" s="37"/>
      <x:c r="B141" s="37"/>
      <x:c r="C141" s="53"/>
      <x:c r="D141" s="37"/>
      <x:c r="E141" s="37"/>
      <x:c r="F141" s="37"/>
      <x:c r="G141" s="37"/>
      <x:c r="H141" s="37"/>
      <x:c r="I141" s="37"/>
      <x:c r="J141" s="37"/>
      <x:c r="K141" s="37"/>
      <x:c r="L141" s="37" t="str">
        <x:f>IF(K141="","",IF(K141&gt;=80,"Critical",IF(K141&gt;=60,"High",IF(K141&gt;=35,"Medium","Low"))))</x:f>
      </x:c>
      <x:c r="M141" s="37" t="str">
        <x:f>IF(L141="","",IF(AND(OR(G141="Outsourced labor supplier",G141="Long-term service supplier"),H141&lt;&gt;"Valid 2026 certificate"),"Obtain valid MoHRE certificate before deployment or renewal",IF(OR(L141="Critical",L141="High"),"Prioritize in sample and validate remediation","Standard monitoring")))</x:f>
      </x:c>
    </x:row>
    <x:row r="142">
      <x:c r="A142" s="37"/>
      <x:c r="B142" s="37"/>
      <x:c r="C142" s="53"/>
      <x:c r="D142" s="37"/>
      <x:c r="E142" s="37"/>
      <x:c r="F142" s="37"/>
      <x:c r="G142" s="37"/>
      <x:c r="H142" s="37"/>
      <x:c r="I142" s="37"/>
      <x:c r="J142" s="37"/>
      <x:c r="K142" s="37"/>
      <x:c r="L142" s="37" t="str">
        <x:f>IF(K142="","",IF(K142&gt;=80,"Critical",IF(K142&gt;=60,"High",IF(K142&gt;=35,"Medium","Low"))))</x:f>
      </x:c>
      <x:c r="M142" s="37" t="str">
        <x:f>IF(L142="","",IF(AND(OR(G142="Outsourced labor supplier",G142="Long-term service supplier"),H142&lt;&gt;"Valid 2026 certificate"),"Obtain valid MoHRE certificate before deployment or renewal",IF(OR(L142="Critical",L142="High"),"Prioritize in sample and validate remediation","Standard monitoring")))</x:f>
      </x:c>
    </x:row>
    <x:row r="143">
      <x:c r="A143" s="37"/>
      <x:c r="B143" s="37"/>
      <x:c r="C143" s="53"/>
      <x:c r="D143" s="37"/>
      <x:c r="E143" s="37"/>
      <x:c r="F143" s="37"/>
      <x:c r="G143" s="37"/>
      <x:c r="H143" s="37"/>
      <x:c r="I143" s="37"/>
      <x:c r="J143" s="37"/>
      <x:c r="K143" s="37"/>
      <x:c r="L143" s="37" t="str">
        <x:f>IF(K143="","",IF(K143&gt;=80,"Critical",IF(K143&gt;=60,"High",IF(K143&gt;=35,"Medium","Low"))))</x:f>
      </x:c>
      <x:c r="M143" s="37" t="str">
        <x:f>IF(L143="","",IF(AND(OR(G143="Outsourced labor supplier",G143="Long-term service supplier"),H143&lt;&gt;"Valid 2026 certificate"),"Obtain valid MoHRE certificate before deployment or renewal",IF(OR(L143="Critical",L143="High"),"Prioritize in sample and validate remediation","Standard monitoring")))</x:f>
      </x:c>
    </x:row>
    <x:row r="144">
      <x:c r="A144" s="37"/>
      <x:c r="B144" s="37"/>
      <x:c r="C144" s="53"/>
      <x:c r="D144" s="37"/>
      <x:c r="E144" s="37"/>
      <x:c r="F144" s="37"/>
      <x:c r="G144" s="37"/>
      <x:c r="H144" s="37"/>
      <x:c r="I144" s="37"/>
      <x:c r="J144" s="37"/>
      <x:c r="K144" s="37"/>
      <x:c r="L144" s="37" t="str">
        <x:f>IF(K144="","",IF(K144&gt;=80,"Critical",IF(K144&gt;=60,"High",IF(K144&gt;=35,"Medium","Low"))))</x:f>
      </x:c>
      <x:c r="M144" s="37" t="str">
        <x:f>IF(L144="","",IF(AND(OR(G144="Outsourced labor supplier",G144="Long-term service supplier"),H144&lt;&gt;"Valid 2026 certificate"),"Obtain valid MoHRE certificate before deployment or renewal",IF(OR(L144="Critical",L144="High"),"Prioritize in sample and validate remediation","Standard monitoring")))</x:f>
      </x:c>
    </x:row>
    <x:row r="145">
      <x:c r="A145" s="37"/>
      <x:c r="B145" s="37"/>
      <x:c r="C145" s="53"/>
      <x:c r="D145" s="37"/>
      <x:c r="E145" s="37"/>
      <x:c r="F145" s="37"/>
      <x:c r="G145" s="37"/>
      <x:c r="H145" s="37"/>
      <x:c r="I145" s="37"/>
      <x:c r="J145" s="37"/>
      <x:c r="K145" s="37"/>
      <x:c r="L145" s="37" t="str">
        <x:f>IF(K145="","",IF(K145&gt;=80,"Critical",IF(K145&gt;=60,"High",IF(K145&gt;=35,"Medium","Low"))))</x:f>
      </x:c>
      <x:c r="M145" s="37" t="str">
        <x:f>IF(L145="","",IF(AND(OR(G145="Outsourced labor supplier",G145="Long-term service supplier"),H145&lt;&gt;"Valid 2026 certificate"),"Obtain valid MoHRE certificate before deployment or renewal",IF(OR(L145="Critical",L145="High"),"Prioritize in sample and validate remediation","Standard monitoring")))</x:f>
      </x:c>
    </x:row>
    <x:row r="146">
      <x:c r="A146" s="37"/>
      <x:c r="B146" s="37"/>
      <x:c r="C146" s="53"/>
      <x:c r="D146" s="37"/>
      <x:c r="E146" s="37"/>
      <x:c r="F146" s="37"/>
      <x:c r="G146" s="37"/>
      <x:c r="H146" s="37"/>
      <x:c r="I146" s="37"/>
      <x:c r="J146" s="37"/>
      <x:c r="K146" s="37"/>
      <x:c r="L146" s="37" t="str">
        <x:f>IF(K146="","",IF(K146&gt;=80,"Critical",IF(K146&gt;=60,"High",IF(K146&gt;=35,"Medium","Low"))))</x:f>
      </x:c>
      <x:c r="M146" s="37" t="str">
        <x:f>IF(L146="","",IF(AND(OR(G146="Outsourced labor supplier",G146="Long-term service supplier"),H146&lt;&gt;"Valid 2026 certificate"),"Obtain valid MoHRE certificate before deployment or renewal",IF(OR(L146="Critical",L146="High"),"Prioritize in sample and validate remediation","Standard monitoring")))</x:f>
      </x:c>
    </x:row>
    <x:row r="147">
      <x:c r="A147" s="37"/>
      <x:c r="B147" s="37"/>
      <x:c r="C147" s="53"/>
      <x:c r="D147" s="37"/>
      <x:c r="E147" s="37"/>
      <x:c r="F147" s="37"/>
      <x:c r="G147" s="37"/>
      <x:c r="H147" s="37"/>
      <x:c r="I147" s="37"/>
      <x:c r="J147" s="37"/>
      <x:c r="K147" s="37"/>
      <x:c r="L147" s="37" t="str">
        <x:f>IF(K147="","",IF(K147&gt;=80,"Critical",IF(K147&gt;=60,"High",IF(K147&gt;=35,"Medium","Low"))))</x:f>
      </x:c>
      <x:c r="M147" s="37" t="str">
        <x:f>IF(L147="","",IF(AND(OR(G147="Outsourced labor supplier",G147="Long-term service supplier"),H147&lt;&gt;"Valid 2026 certificate"),"Obtain valid MoHRE certificate before deployment or renewal",IF(OR(L147="Critical",L147="High"),"Prioritize in sample and validate remediation","Standard monitoring")))</x:f>
      </x:c>
    </x:row>
    <x:row r="148">
      <x:c r="A148" s="37"/>
      <x:c r="B148" s="37"/>
      <x:c r="C148" s="53"/>
      <x:c r="D148" s="37"/>
      <x:c r="E148" s="37"/>
      <x:c r="F148" s="37"/>
      <x:c r="G148" s="37"/>
      <x:c r="H148" s="37"/>
      <x:c r="I148" s="37"/>
      <x:c r="J148" s="37"/>
      <x:c r="K148" s="37"/>
      <x:c r="L148" s="37" t="str">
        <x:f>IF(K148="","",IF(K148&gt;=80,"Critical",IF(K148&gt;=60,"High",IF(K148&gt;=35,"Medium","Low"))))</x:f>
      </x:c>
      <x:c r="M148" s="37" t="str">
        <x:f>IF(L148="","",IF(AND(OR(G148="Outsourced labor supplier",G148="Long-term service supplier"),H148&lt;&gt;"Valid 2026 certificate"),"Obtain valid MoHRE certificate before deployment or renewal",IF(OR(L148="Critical",L148="High"),"Prioritize in sample and validate remediation","Standard monitoring")))</x:f>
      </x:c>
    </x:row>
    <x:row r="149">
      <x:c r="A149" s="37"/>
      <x:c r="B149" s="37"/>
      <x:c r="C149" s="53"/>
      <x:c r="D149" s="37"/>
      <x:c r="E149" s="37"/>
      <x:c r="F149" s="37"/>
      <x:c r="G149" s="37"/>
      <x:c r="H149" s="37"/>
      <x:c r="I149" s="37"/>
      <x:c r="J149" s="37"/>
      <x:c r="K149" s="37"/>
      <x:c r="L149" s="37" t="str">
        <x:f>IF(K149="","",IF(K149&gt;=80,"Critical",IF(K149&gt;=60,"High",IF(K149&gt;=35,"Medium","Low"))))</x:f>
      </x:c>
      <x:c r="M149" s="37" t="str">
        <x:f>IF(L149="","",IF(AND(OR(G149="Outsourced labor supplier",G149="Long-term service supplier"),H149&lt;&gt;"Valid 2026 certificate"),"Obtain valid MoHRE certificate before deployment or renewal",IF(OR(L149="Critical",L149="High"),"Prioritize in sample and validate remediation","Standard monitoring")))</x:f>
      </x:c>
    </x:row>
    <x:row r="150">
      <x:c r="A150" s="37"/>
      <x:c r="B150" s="37"/>
      <x:c r="C150" s="53"/>
      <x:c r="D150" s="37"/>
      <x:c r="E150" s="37"/>
      <x:c r="F150" s="37"/>
      <x:c r="G150" s="37"/>
      <x:c r="H150" s="37"/>
      <x:c r="I150" s="37"/>
      <x:c r="J150" s="37"/>
      <x:c r="K150" s="37"/>
      <x:c r="L150" s="37" t="str">
        <x:f>IF(K150="","",IF(K150&gt;=80,"Critical",IF(K150&gt;=60,"High",IF(K150&gt;=35,"Medium","Low"))))</x:f>
      </x:c>
      <x:c r="M150" s="37" t="str">
        <x:f>IF(L150="","",IF(AND(OR(G150="Outsourced labor supplier",G150="Long-term service supplier"),H150&lt;&gt;"Valid 2026 certificate"),"Obtain valid MoHRE certificate before deployment or renewal",IF(OR(L150="Critical",L150="High"),"Prioritize in sample and validate remediation","Standard monitoring")))</x:f>
      </x:c>
    </x:row>
    <x:row r="151">
      <x:c r="A151" s="37"/>
      <x:c r="B151" s="37"/>
      <x:c r="C151" s="53"/>
      <x:c r="D151" s="37"/>
      <x:c r="E151" s="37"/>
      <x:c r="F151" s="37"/>
      <x:c r="G151" s="37"/>
      <x:c r="H151" s="37"/>
      <x:c r="I151" s="37"/>
      <x:c r="J151" s="37"/>
      <x:c r="K151" s="37"/>
      <x:c r="L151" s="37" t="str">
        <x:f>IF(K151="","",IF(K151&gt;=80,"Critical",IF(K151&gt;=60,"High",IF(K151&gt;=35,"Medium","Low"))))</x:f>
      </x:c>
      <x:c r="M151" s="37" t="str">
        <x:f>IF(L151="","",IF(AND(OR(G151="Outsourced labor supplier",G151="Long-term service supplier"),H151&lt;&gt;"Valid 2026 certificate"),"Obtain valid MoHRE certificate before deployment or renewal",IF(OR(L151="Critical",L151="High"),"Prioritize in sample and validate remediation","Standard monitoring")))</x:f>
      </x:c>
    </x:row>
    <x:row r="152">
      <x:c r="A152" s="37"/>
      <x:c r="B152" s="37"/>
      <x:c r="C152" s="53"/>
      <x:c r="D152" s="37"/>
      <x:c r="E152" s="37"/>
      <x:c r="F152" s="37"/>
      <x:c r="G152" s="37"/>
      <x:c r="H152" s="37"/>
      <x:c r="I152" s="37"/>
      <x:c r="J152" s="37"/>
      <x:c r="K152" s="37"/>
      <x:c r="L152" s="37" t="str">
        <x:f>IF(K152="","",IF(K152&gt;=80,"Critical",IF(K152&gt;=60,"High",IF(K152&gt;=35,"Medium","Low"))))</x:f>
      </x:c>
      <x:c r="M152" s="37" t="str">
        <x:f>IF(L152="","",IF(AND(OR(G152="Outsourced labor supplier",G152="Long-term service supplier"),H152&lt;&gt;"Valid 2026 certificate"),"Obtain valid MoHRE certificate before deployment or renewal",IF(OR(L152="Critical",L152="High"),"Prioritize in sample and validate remediation","Standard monitoring")))</x:f>
      </x:c>
    </x:row>
    <x:row r="153">
      <x:c r="A153" s="37"/>
      <x:c r="B153" s="37"/>
      <x:c r="C153" s="53"/>
      <x:c r="D153" s="37"/>
      <x:c r="E153" s="37"/>
      <x:c r="F153" s="37"/>
      <x:c r="G153" s="37"/>
      <x:c r="H153" s="37"/>
      <x:c r="I153" s="37"/>
      <x:c r="J153" s="37"/>
      <x:c r="K153" s="37"/>
      <x:c r="L153" s="37" t="str">
        <x:f>IF(K153="","",IF(K153&gt;=80,"Critical",IF(K153&gt;=60,"High",IF(K153&gt;=35,"Medium","Low"))))</x:f>
      </x:c>
      <x:c r="M153" s="37" t="str">
        <x:f>IF(L153="","",IF(AND(OR(G153="Outsourced labor supplier",G153="Long-term service supplier"),H153&lt;&gt;"Valid 2026 certificate"),"Obtain valid MoHRE certificate before deployment or renewal",IF(OR(L153="Critical",L153="High"),"Prioritize in sample and validate remediation","Standard monitoring")))</x:f>
      </x:c>
    </x:row>
    <x:row r="154">
      <x:c r="A154" s="37"/>
      <x:c r="B154" s="37"/>
      <x:c r="C154" s="53"/>
      <x:c r="D154" s="37"/>
      <x:c r="E154" s="37"/>
      <x:c r="F154" s="37"/>
      <x:c r="G154" s="37"/>
      <x:c r="H154" s="37"/>
      <x:c r="I154" s="37"/>
      <x:c r="J154" s="37"/>
      <x:c r="K154" s="37"/>
      <x:c r="L154" s="37" t="str">
        <x:f>IF(K154="","",IF(K154&gt;=80,"Critical",IF(K154&gt;=60,"High",IF(K154&gt;=35,"Medium","Low"))))</x:f>
      </x:c>
      <x:c r="M154" s="37" t="str">
        <x:f>IF(L154="","",IF(AND(OR(G154="Outsourced labor supplier",G154="Long-term service supplier"),H154&lt;&gt;"Valid 2026 certificate"),"Obtain valid MoHRE certificate before deployment or renewal",IF(OR(L154="Critical",L154="High"),"Prioritize in sample and validate remediation","Standard monitoring")))</x:f>
      </x:c>
    </x:row>
    <x:row r="155">
      <x:c r="A155" s="37"/>
      <x:c r="B155" s="37"/>
      <x:c r="C155" s="53"/>
      <x:c r="D155" s="37"/>
      <x:c r="E155" s="37"/>
      <x:c r="F155" s="37"/>
      <x:c r="G155" s="37"/>
      <x:c r="H155" s="37"/>
      <x:c r="I155" s="37"/>
      <x:c r="J155" s="37"/>
      <x:c r="K155" s="37"/>
      <x:c r="L155" s="37" t="str">
        <x:f>IF(K155="","",IF(K155&gt;=80,"Critical",IF(K155&gt;=60,"High",IF(K155&gt;=35,"Medium","Low"))))</x:f>
      </x:c>
      <x:c r="M155" s="37" t="str">
        <x:f>IF(L155="","",IF(AND(OR(G155="Outsourced labor supplier",G155="Long-term service supplier"),H155&lt;&gt;"Valid 2026 certificate"),"Obtain valid MoHRE certificate before deployment or renewal",IF(OR(L155="Critical",L155="High"),"Prioritize in sample and validate remediation","Standard monitoring")))</x:f>
      </x:c>
    </x:row>
    <x:row r="156">
      <x:c r="A156" s="37"/>
      <x:c r="B156" s="37"/>
      <x:c r="C156" s="53"/>
      <x:c r="D156" s="37"/>
      <x:c r="E156" s="37"/>
      <x:c r="F156" s="37"/>
      <x:c r="G156" s="37"/>
      <x:c r="H156" s="37"/>
      <x:c r="I156" s="37"/>
      <x:c r="J156" s="37"/>
      <x:c r="K156" s="37"/>
      <x:c r="L156" s="37" t="str">
        <x:f>IF(K156="","",IF(K156&gt;=80,"Critical",IF(K156&gt;=60,"High",IF(K156&gt;=35,"Medium","Low"))))</x:f>
      </x:c>
      <x:c r="M156" s="37" t="str">
        <x:f>IF(L156="","",IF(AND(OR(G156="Outsourced labor supplier",G156="Long-term service supplier"),H156&lt;&gt;"Valid 2026 certificate"),"Obtain valid MoHRE certificate before deployment or renewal",IF(OR(L156="Critical",L156="High"),"Prioritize in sample and validate remediation","Standard monitoring")))</x:f>
      </x:c>
    </x:row>
    <x:row r="157">
      <x:c r="A157" s="37"/>
      <x:c r="B157" s="37"/>
      <x:c r="C157" s="53"/>
      <x:c r="D157" s="37"/>
      <x:c r="E157" s="37"/>
      <x:c r="F157" s="37"/>
      <x:c r="G157" s="37"/>
      <x:c r="H157" s="37"/>
      <x:c r="I157" s="37"/>
      <x:c r="J157" s="37"/>
      <x:c r="K157" s="37"/>
      <x:c r="L157" s="37" t="str">
        <x:f>IF(K157="","",IF(K157&gt;=80,"Critical",IF(K157&gt;=60,"High",IF(K157&gt;=35,"Medium","Low"))))</x:f>
      </x:c>
      <x:c r="M157" s="37" t="str">
        <x:f>IF(L157="","",IF(AND(OR(G157="Outsourced labor supplier",G157="Long-term service supplier"),H157&lt;&gt;"Valid 2026 certificate"),"Obtain valid MoHRE certificate before deployment or renewal",IF(OR(L157="Critical",L157="High"),"Prioritize in sample and validate remediation","Standard monitoring")))</x:f>
      </x:c>
    </x:row>
    <x:row r="158">
      <x:c r="A158" s="37"/>
      <x:c r="B158" s="37"/>
      <x:c r="C158" s="53"/>
      <x:c r="D158" s="37"/>
      <x:c r="E158" s="37"/>
      <x:c r="F158" s="37"/>
      <x:c r="G158" s="37"/>
      <x:c r="H158" s="37"/>
      <x:c r="I158" s="37"/>
      <x:c r="J158" s="37"/>
      <x:c r="K158" s="37"/>
      <x:c r="L158" s="37" t="str">
        <x:f>IF(K158="","",IF(K158&gt;=80,"Critical",IF(K158&gt;=60,"High",IF(K158&gt;=35,"Medium","Low"))))</x:f>
      </x:c>
      <x:c r="M158" s="37" t="str">
        <x:f>IF(L158="","",IF(AND(OR(G158="Outsourced labor supplier",G158="Long-term service supplier"),H158&lt;&gt;"Valid 2026 certificate"),"Obtain valid MoHRE certificate before deployment or renewal",IF(OR(L158="Critical",L158="High"),"Prioritize in sample and validate remediation","Standard monitoring")))</x:f>
      </x:c>
    </x:row>
    <x:row r="159">
      <x:c r="A159" s="37"/>
      <x:c r="B159" s="37"/>
      <x:c r="C159" s="53"/>
      <x:c r="D159" s="37"/>
      <x:c r="E159" s="37"/>
      <x:c r="F159" s="37"/>
      <x:c r="G159" s="37"/>
      <x:c r="H159" s="37"/>
      <x:c r="I159" s="37"/>
      <x:c r="J159" s="37"/>
      <x:c r="K159" s="37"/>
      <x:c r="L159" s="37" t="str">
        <x:f>IF(K159="","",IF(K159&gt;=80,"Critical",IF(K159&gt;=60,"High",IF(K159&gt;=35,"Medium","Low"))))</x:f>
      </x:c>
      <x:c r="M159" s="37" t="str">
        <x:f>IF(L159="","",IF(AND(OR(G159="Outsourced labor supplier",G159="Long-term service supplier"),H159&lt;&gt;"Valid 2026 certificate"),"Obtain valid MoHRE certificate before deployment or renewal",IF(OR(L159="Critical",L159="High"),"Prioritize in sample and validate remediation","Standard monitoring")))</x:f>
      </x:c>
    </x:row>
    <x:row r="160">
      <x:c r="A160" s="37"/>
      <x:c r="B160" s="37"/>
      <x:c r="C160" s="53"/>
      <x:c r="D160" s="37"/>
      <x:c r="E160" s="37"/>
      <x:c r="F160" s="37"/>
      <x:c r="G160" s="37"/>
      <x:c r="H160" s="37"/>
      <x:c r="I160" s="37"/>
      <x:c r="J160" s="37"/>
      <x:c r="K160" s="37"/>
      <x:c r="L160" s="37" t="str">
        <x:f>IF(K160="","",IF(K160&gt;=80,"Critical",IF(K160&gt;=60,"High",IF(K160&gt;=35,"Medium","Low"))))</x:f>
      </x:c>
      <x:c r="M160" s="37" t="str">
        <x:f>IF(L160="","",IF(AND(OR(G160="Outsourced labor supplier",G160="Long-term service supplier"),H160&lt;&gt;"Valid 2026 certificate"),"Obtain valid MoHRE certificate before deployment or renewal",IF(OR(L160="Critical",L160="High"),"Prioritize in sample and validate remediation","Standard monitoring")))</x:f>
      </x:c>
    </x:row>
    <x:row r="161">
      <x:c r="A161" s="37"/>
      <x:c r="B161" s="37"/>
      <x:c r="C161" s="53"/>
      <x:c r="D161" s="37"/>
      <x:c r="E161" s="37"/>
      <x:c r="F161" s="37"/>
      <x:c r="G161" s="37"/>
      <x:c r="H161" s="37"/>
      <x:c r="I161" s="37"/>
      <x:c r="J161" s="37"/>
      <x:c r="K161" s="37"/>
      <x:c r="L161" s="37" t="str">
        <x:f>IF(K161="","",IF(K161&gt;=80,"Critical",IF(K161&gt;=60,"High",IF(K161&gt;=35,"Medium","Low"))))</x:f>
      </x:c>
      <x:c r="M161" s="37" t="str">
        <x:f>IF(L161="","",IF(AND(OR(G161="Outsourced labor supplier",G161="Long-term service supplier"),H161&lt;&gt;"Valid 2026 certificate"),"Obtain valid MoHRE certificate before deployment or renewal",IF(OR(L161="Critical",L161="High"),"Prioritize in sample and validate remediation","Standard monitoring")))</x:f>
      </x:c>
    </x:row>
    <x:row r="162">
      <x:c r="A162" s="37"/>
      <x:c r="B162" s="37"/>
      <x:c r="C162" s="53"/>
      <x:c r="D162" s="37"/>
      <x:c r="E162" s="37"/>
      <x:c r="F162" s="37"/>
      <x:c r="G162" s="37"/>
      <x:c r="H162" s="37"/>
      <x:c r="I162" s="37"/>
      <x:c r="J162" s="37"/>
      <x:c r="K162" s="37"/>
      <x:c r="L162" s="37" t="str">
        <x:f>IF(K162="","",IF(K162&gt;=80,"Critical",IF(K162&gt;=60,"High",IF(K162&gt;=35,"Medium","Low"))))</x:f>
      </x:c>
      <x:c r="M162" s="37" t="str">
        <x:f>IF(L162="","",IF(AND(OR(G162="Outsourced labor supplier",G162="Long-term service supplier"),H162&lt;&gt;"Valid 2026 certificate"),"Obtain valid MoHRE certificate before deployment or renewal",IF(OR(L162="Critical",L162="High"),"Prioritize in sample and validate remediation","Standard monitoring")))</x:f>
      </x:c>
    </x:row>
    <x:row r="163">
      <x:c r="A163" s="37"/>
      <x:c r="B163" s="37"/>
      <x:c r="C163" s="53"/>
      <x:c r="D163" s="37"/>
      <x:c r="E163" s="37"/>
      <x:c r="F163" s="37"/>
      <x:c r="G163" s="37"/>
      <x:c r="H163" s="37"/>
      <x:c r="I163" s="37"/>
      <x:c r="J163" s="37"/>
      <x:c r="K163" s="37"/>
      <x:c r="L163" s="37" t="str">
        <x:f>IF(K163="","",IF(K163&gt;=80,"Critical",IF(K163&gt;=60,"High",IF(K163&gt;=35,"Medium","Low"))))</x:f>
      </x:c>
      <x:c r="M163" s="37" t="str">
        <x:f>IF(L163="","",IF(AND(OR(G163="Outsourced labor supplier",G163="Long-term service supplier"),H163&lt;&gt;"Valid 2026 certificate"),"Obtain valid MoHRE certificate before deployment or renewal",IF(OR(L163="Critical",L163="High"),"Prioritize in sample and validate remediation","Standard monitoring")))</x:f>
      </x:c>
    </x:row>
    <x:row r="164">
      <x:c r="A164" s="37"/>
      <x:c r="B164" s="37"/>
      <x:c r="C164" s="53"/>
      <x:c r="D164" s="37"/>
      <x:c r="E164" s="37"/>
      <x:c r="F164" s="37"/>
      <x:c r="G164" s="37"/>
      <x:c r="H164" s="37"/>
      <x:c r="I164" s="37"/>
      <x:c r="J164" s="37"/>
      <x:c r="K164" s="37"/>
      <x:c r="L164" s="37" t="str">
        <x:f>IF(K164="","",IF(K164&gt;=80,"Critical",IF(K164&gt;=60,"High",IF(K164&gt;=35,"Medium","Low"))))</x:f>
      </x:c>
      <x:c r="M164" s="37" t="str">
        <x:f>IF(L164="","",IF(AND(OR(G164="Outsourced labor supplier",G164="Long-term service supplier"),H164&lt;&gt;"Valid 2026 certificate"),"Obtain valid MoHRE certificate before deployment or renewal",IF(OR(L164="Critical",L164="High"),"Prioritize in sample and validate remediation","Standard monitoring")))</x:f>
      </x:c>
    </x:row>
    <x:row r="165">
      <x:c r="A165" s="37"/>
      <x:c r="B165" s="37"/>
      <x:c r="C165" s="53"/>
      <x:c r="D165" s="37"/>
      <x:c r="E165" s="37"/>
      <x:c r="F165" s="37"/>
      <x:c r="G165" s="37"/>
      <x:c r="H165" s="37"/>
      <x:c r="I165" s="37"/>
      <x:c r="J165" s="37"/>
      <x:c r="K165" s="37"/>
      <x:c r="L165" s="37" t="str">
        <x:f>IF(K165="","",IF(K165&gt;=80,"Critical",IF(K165&gt;=60,"High",IF(K165&gt;=35,"Medium","Low"))))</x:f>
      </x:c>
      <x:c r="M165" s="37" t="str">
        <x:f>IF(L165="","",IF(AND(OR(G165="Outsourced labor supplier",G165="Long-term service supplier"),H165&lt;&gt;"Valid 2026 certificate"),"Obtain valid MoHRE certificate before deployment or renewal",IF(OR(L165="Critical",L165="High"),"Prioritize in sample and validate remediation","Standard monitoring")))</x:f>
      </x:c>
    </x:row>
    <x:row r="166">
      <x:c r="A166" s="37"/>
      <x:c r="B166" s="37"/>
      <x:c r="C166" s="53"/>
      <x:c r="D166" s="37"/>
      <x:c r="E166" s="37"/>
      <x:c r="F166" s="37"/>
      <x:c r="G166" s="37"/>
      <x:c r="H166" s="37"/>
      <x:c r="I166" s="37"/>
      <x:c r="J166" s="37"/>
      <x:c r="K166" s="37"/>
      <x:c r="L166" s="37" t="str">
        <x:f>IF(K166="","",IF(K166&gt;=80,"Critical",IF(K166&gt;=60,"High",IF(K166&gt;=35,"Medium","Low"))))</x:f>
      </x:c>
      <x:c r="M166" s="37" t="str">
        <x:f>IF(L166="","",IF(AND(OR(G166="Outsourced labor supplier",G166="Long-term service supplier"),H166&lt;&gt;"Valid 2026 certificate"),"Obtain valid MoHRE certificate before deployment or renewal",IF(OR(L166="Critical",L166="High"),"Prioritize in sample and validate remediation","Standard monitoring")))</x:f>
      </x:c>
    </x:row>
    <x:row r="167">
      <x:c r="A167" s="37"/>
      <x:c r="B167" s="37"/>
      <x:c r="C167" s="53"/>
      <x:c r="D167" s="37"/>
      <x:c r="E167" s="37"/>
      <x:c r="F167" s="37"/>
      <x:c r="G167" s="37"/>
      <x:c r="H167" s="37"/>
      <x:c r="I167" s="37"/>
      <x:c r="J167" s="37"/>
      <x:c r="K167" s="37"/>
      <x:c r="L167" s="37" t="str">
        <x:f>IF(K167="","",IF(K167&gt;=80,"Critical",IF(K167&gt;=60,"High",IF(K167&gt;=35,"Medium","Low"))))</x:f>
      </x:c>
      <x:c r="M167" s="37" t="str">
        <x:f>IF(L167="","",IF(AND(OR(G167="Outsourced labor supplier",G167="Long-term service supplier"),H167&lt;&gt;"Valid 2026 certificate"),"Obtain valid MoHRE certificate before deployment or renewal",IF(OR(L167="Critical",L167="High"),"Prioritize in sample and validate remediation","Standard monitoring")))</x:f>
      </x:c>
    </x:row>
    <x:row r="168">
      <x:c r="A168" s="37"/>
      <x:c r="B168" s="37"/>
      <x:c r="C168" s="53"/>
      <x:c r="D168" s="37"/>
      <x:c r="E168" s="37"/>
      <x:c r="F168" s="37"/>
      <x:c r="G168" s="37"/>
      <x:c r="H168" s="37"/>
      <x:c r="I168" s="37"/>
      <x:c r="J168" s="37"/>
      <x:c r="K168" s="37"/>
      <x:c r="L168" s="37" t="str">
        <x:f>IF(K168="","",IF(K168&gt;=80,"Critical",IF(K168&gt;=60,"High",IF(K168&gt;=35,"Medium","Low"))))</x:f>
      </x:c>
      <x:c r="M168" s="37" t="str">
        <x:f>IF(L168="","",IF(AND(OR(G168="Outsourced labor supplier",G168="Long-term service supplier"),H168&lt;&gt;"Valid 2026 certificate"),"Obtain valid MoHRE certificate before deployment or renewal",IF(OR(L168="Critical",L168="High"),"Prioritize in sample and validate remediation","Standard monitoring")))</x:f>
      </x:c>
    </x:row>
    <x:row r="169">
      <x:c r="A169" s="37"/>
      <x:c r="B169" s="37"/>
      <x:c r="C169" s="53"/>
      <x:c r="D169" s="37"/>
      <x:c r="E169" s="37"/>
      <x:c r="F169" s="37"/>
      <x:c r="G169" s="37"/>
      <x:c r="H169" s="37"/>
      <x:c r="I169" s="37"/>
      <x:c r="J169" s="37"/>
      <x:c r="K169" s="37"/>
      <x:c r="L169" s="37" t="str">
        <x:f>IF(K169="","",IF(K169&gt;=80,"Critical",IF(K169&gt;=60,"High",IF(K169&gt;=35,"Medium","Low"))))</x:f>
      </x:c>
      <x:c r="M169" s="37" t="str">
        <x:f>IF(L169="","",IF(AND(OR(G169="Outsourced labor supplier",G169="Long-term service supplier"),H169&lt;&gt;"Valid 2026 certificate"),"Obtain valid MoHRE certificate before deployment or renewal",IF(OR(L169="Critical",L169="High"),"Prioritize in sample and validate remediation","Standard monitoring")))</x:f>
      </x:c>
    </x:row>
    <x:row r="170">
      <x:c r="A170" s="37"/>
      <x:c r="B170" s="37"/>
      <x:c r="C170" s="53"/>
      <x:c r="D170" s="37"/>
      <x:c r="E170" s="37"/>
      <x:c r="F170" s="37"/>
      <x:c r="G170" s="37"/>
      <x:c r="H170" s="37"/>
      <x:c r="I170" s="37"/>
      <x:c r="J170" s="37"/>
      <x:c r="K170" s="37"/>
      <x:c r="L170" s="37" t="str">
        <x:f>IF(K170="","",IF(K170&gt;=80,"Critical",IF(K170&gt;=60,"High",IF(K170&gt;=35,"Medium","Low"))))</x:f>
      </x:c>
      <x:c r="M170" s="37" t="str">
        <x:f>IF(L170="","",IF(AND(OR(G170="Outsourced labor supplier",G170="Long-term service supplier"),H170&lt;&gt;"Valid 2026 certificate"),"Obtain valid MoHRE certificate before deployment or renewal",IF(OR(L170="Critical",L170="High"),"Prioritize in sample and validate remediation","Standard monitoring")))</x:f>
      </x:c>
    </x:row>
    <x:row r="171">
      <x:c r="A171" s="37"/>
      <x:c r="B171" s="37"/>
      <x:c r="C171" s="53"/>
      <x:c r="D171" s="37"/>
      <x:c r="E171" s="37"/>
      <x:c r="F171" s="37"/>
      <x:c r="G171" s="37"/>
      <x:c r="H171" s="37"/>
      <x:c r="I171" s="37"/>
      <x:c r="J171" s="37"/>
      <x:c r="K171" s="37"/>
      <x:c r="L171" s="37" t="str">
        <x:f>IF(K171="","",IF(K171&gt;=80,"Critical",IF(K171&gt;=60,"High",IF(K171&gt;=35,"Medium","Low"))))</x:f>
      </x:c>
      <x:c r="M171" s="37" t="str">
        <x:f>IF(L171="","",IF(AND(OR(G171="Outsourced labor supplier",G171="Long-term service supplier"),H171&lt;&gt;"Valid 2026 certificate"),"Obtain valid MoHRE certificate before deployment or renewal",IF(OR(L171="Critical",L171="High"),"Prioritize in sample and validate remediation","Standard monitoring")))</x:f>
      </x:c>
    </x:row>
    <x:row r="172">
      <x:c r="A172" s="37"/>
      <x:c r="B172" s="37"/>
      <x:c r="C172" s="53"/>
      <x:c r="D172" s="37"/>
      <x:c r="E172" s="37"/>
      <x:c r="F172" s="37"/>
      <x:c r="G172" s="37"/>
      <x:c r="H172" s="37"/>
      <x:c r="I172" s="37"/>
      <x:c r="J172" s="37"/>
      <x:c r="K172" s="37"/>
      <x:c r="L172" s="37" t="str">
        <x:f>IF(K172="","",IF(K172&gt;=80,"Critical",IF(K172&gt;=60,"High",IF(K172&gt;=35,"Medium","Low"))))</x:f>
      </x:c>
      <x:c r="M172" s="37" t="str">
        <x:f>IF(L172="","",IF(AND(OR(G172="Outsourced labor supplier",G172="Long-term service supplier"),H172&lt;&gt;"Valid 2026 certificate"),"Obtain valid MoHRE certificate before deployment or renewal",IF(OR(L172="Critical",L172="High"),"Prioritize in sample and validate remediation","Standard monitoring")))</x:f>
      </x:c>
    </x:row>
    <x:row r="173">
      <x:c r="A173" s="37"/>
      <x:c r="B173" s="37"/>
      <x:c r="C173" s="53"/>
      <x:c r="D173" s="37"/>
      <x:c r="E173" s="37"/>
      <x:c r="F173" s="37"/>
      <x:c r="G173" s="37"/>
      <x:c r="H173" s="37"/>
      <x:c r="I173" s="37"/>
      <x:c r="J173" s="37"/>
      <x:c r="K173" s="37"/>
      <x:c r="L173" s="37" t="str">
        <x:f>IF(K173="","",IF(K173&gt;=80,"Critical",IF(K173&gt;=60,"High",IF(K173&gt;=35,"Medium","Low"))))</x:f>
      </x:c>
      <x:c r="M173" s="37" t="str">
        <x:f>IF(L173="","",IF(AND(OR(G173="Outsourced labor supplier",G173="Long-term service supplier"),H173&lt;&gt;"Valid 2026 certificate"),"Obtain valid MoHRE certificate before deployment or renewal",IF(OR(L173="Critical",L173="High"),"Prioritize in sample and validate remediation","Standard monitoring")))</x:f>
      </x:c>
    </x:row>
    <x:row r="174">
      <x:c r="A174" s="37"/>
      <x:c r="B174" s="37"/>
      <x:c r="C174" s="53"/>
      <x:c r="D174" s="37"/>
      <x:c r="E174" s="37"/>
      <x:c r="F174" s="37"/>
      <x:c r="G174" s="37"/>
      <x:c r="H174" s="37"/>
      <x:c r="I174" s="37"/>
      <x:c r="J174" s="37"/>
      <x:c r="K174" s="37"/>
      <x:c r="L174" s="37" t="str">
        <x:f>IF(K174="","",IF(K174&gt;=80,"Critical",IF(K174&gt;=60,"High",IF(K174&gt;=35,"Medium","Low"))))</x:f>
      </x:c>
      <x:c r="M174" s="37" t="str">
        <x:f>IF(L174="","",IF(AND(OR(G174="Outsourced labor supplier",G174="Long-term service supplier"),H174&lt;&gt;"Valid 2026 certificate"),"Obtain valid MoHRE certificate before deployment or renewal",IF(OR(L174="Critical",L174="High"),"Prioritize in sample and validate remediation","Standard monitoring")))</x:f>
      </x:c>
    </x:row>
    <x:row r="175">
      <x:c r="A175" s="37"/>
      <x:c r="B175" s="37"/>
      <x:c r="C175" s="53"/>
      <x:c r="D175" s="37"/>
      <x:c r="E175" s="37"/>
      <x:c r="F175" s="37"/>
      <x:c r="G175" s="37"/>
      <x:c r="H175" s="37"/>
      <x:c r="I175" s="37"/>
      <x:c r="J175" s="37"/>
      <x:c r="K175" s="37"/>
      <x:c r="L175" s="37" t="str">
        <x:f>IF(K175="","",IF(K175&gt;=80,"Critical",IF(K175&gt;=60,"High",IF(K175&gt;=35,"Medium","Low"))))</x:f>
      </x:c>
      <x:c r="M175" s="37" t="str">
        <x:f>IF(L175="","",IF(AND(OR(G175="Outsourced labor supplier",G175="Long-term service supplier"),H175&lt;&gt;"Valid 2026 certificate"),"Obtain valid MoHRE certificate before deployment or renewal",IF(OR(L175="Critical",L175="High"),"Prioritize in sample and validate remediation","Standard monitoring")))</x:f>
      </x:c>
    </x:row>
    <x:row r="176">
      <x:c r="A176" s="37"/>
      <x:c r="B176" s="37"/>
      <x:c r="C176" s="53"/>
      <x:c r="D176" s="37"/>
      <x:c r="E176" s="37"/>
      <x:c r="F176" s="37"/>
      <x:c r="G176" s="37"/>
      <x:c r="H176" s="37"/>
      <x:c r="I176" s="37"/>
      <x:c r="J176" s="37"/>
      <x:c r="K176" s="37"/>
      <x:c r="L176" s="37" t="str">
        <x:f>IF(K176="","",IF(K176&gt;=80,"Critical",IF(K176&gt;=60,"High",IF(K176&gt;=35,"Medium","Low"))))</x:f>
      </x:c>
      <x:c r="M176" s="37" t="str">
        <x:f>IF(L176="","",IF(AND(OR(G176="Outsourced labor supplier",G176="Long-term service supplier"),H176&lt;&gt;"Valid 2026 certificate"),"Obtain valid MoHRE certificate before deployment or renewal",IF(OR(L176="Critical",L176="High"),"Prioritize in sample and validate remediation","Standard monitoring")))</x:f>
      </x:c>
    </x:row>
    <x:row r="177">
      <x:c r="A177" s="37"/>
      <x:c r="B177" s="37"/>
      <x:c r="C177" s="53"/>
      <x:c r="D177" s="37"/>
      <x:c r="E177" s="37"/>
      <x:c r="F177" s="37"/>
      <x:c r="G177" s="37"/>
      <x:c r="H177" s="37"/>
      <x:c r="I177" s="37"/>
      <x:c r="J177" s="37"/>
      <x:c r="K177" s="37"/>
      <x:c r="L177" s="37" t="str">
        <x:f>IF(K177="","",IF(K177&gt;=80,"Critical",IF(K177&gt;=60,"High",IF(K177&gt;=35,"Medium","Low"))))</x:f>
      </x:c>
      <x:c r="M177" s="37" t="str">
        <x:f>IF(L177="","",IF(AND(OR(G177="Outsourced labor supplier",G177="Long-term service supplier"),H177&lt;&gt;"Valid 2026 certificate"),"Obtain valid MoHRE certificate before deployment or renewal",IF(OR(L177="Critical",L177="High"),"Prioritize in sample and validate remediation","Standard monitoring")))</x:f>
      </x:c>
    </x:row>
    <x:row r="178">
      <x:c r="A178" s="37"/>
      <x:c r="B178" s="37"/>
      <x:c r="C178" s="53"/>
      <x:c r="D178" s="37"/>
      <x:c r="E178" s="37"/>
      <x:c r="F178" s="37"/>
      <x:c r="G178" s="37"/>
      <x:c r="H178" s="37"/>
      <x:c r="I178" s="37"/>
      <x:c r="J178" s="37"/>
      <x:c r="K178" s="37"/>
      <x:c r="L178" s="37" t="str">
        <x:f>IF(K178="","",IF(K178&gt;=80,"Critical",IF(K178&gt;=60,"High",IF(K178&gt;=35,"Medium","Low"))))</x:f>
      </x:c>
      <x:c r="M178" s="37" t="str">
        <x:f>IF(L178="","",IF(AND(OR(G178="Outsourced labor supplier",G178="Long-term service supplier"),H178&lt;&gt;"Valid 2026 certificate"),"Obtain valid MoHRE certificate before deployment or renewal",IF(OR(L178="Critical",L178="High"),"Prioritize in sample and validate remediation","Standard monitoring")))</x:f>
      </x:c>
    </x:row>
    <x:row r="179">
      <x:c r="A179" s="37"/>
      <x:c r="B179" s="37"/>
      <x:c r="C179" s="53"/>
      <x:c r="D179" s="37"/>
      <x:c r="E179" s="37"/>
      <x:c r="F179" s="37"/>
      <x:c r="G179" s="37"/>
      <x:c r="H179" s="37"/>
      <x:c r="I179" s="37"/>
      <x:c r="J179" s="37"/>
      <x:c r="K179" s="37"/>
      <x:c r="L179" s="37" t="str">
        <x:f>IF(K179="","",IF(K179&gt;=80,"Critical",IF(K179&gt;=60,"High",IF(K179&gt;=35,"Medium","Low"))))</x:f>
      </x:c>
      <x:c r="M179" s="37" t="str">
        <x:f>IF(L179="","",IF(AND(OR(G179="Outsourced labor supplier",G179="Long-term service supplier"),H179&lt;&gt;"Valid 2026 certificate"),"Obtain valid MoHRE certificate before deployment or renewal",IF(OR(L179="Critical",L179="High"),"Prioritize in sample and validate remediation","Standard monitoring")))</x:f>
      </x:c>
    </x:row>
    <x:row r="180">
      <x:c r="A180" s="37"/>
      <x:c r="B180" s="37"/>
      <x:c r="C180" s="53"/>
      <x:c r="D180" s="37"/>
      <x:c r="E180" s="37"/>
      <x:c r="F180" s="37"/>
      <x:c r="G180" s="37"/>
      <x:c r="H180" s="37"/>
      <x:c r="I180" s="37"/>
      <x:c r="J180" s="37"/>
      <x:c r="K180" s="37"/>
      <x:c r="L180" s="37" t="str">
        <x:f>IF(K180="","",IF(K180&gt;=80,"Critical",IF(K180&gt;=60,"High",IF(K180&gt;=35,"Medium","Low"))))</x:f>
      </x:c>
      <x:c r="M180" s="37" t="str">
        <x:f>IF(L180="","",IF(AND(OR(G180="Outsourced labor supplier",G180="Long-term service supplier"),H180&lt;&gt;"Valid 2026 certificate"),"Obtain valid MoHRE certificate before deployment or renewal",IF(OR(L180="Critical",L180="High"),"Prioritize in sample and validate remediation","Standard monitoring")))</x:f>
      </x:c>
    </x:row>
    <x:row r="181">
      <x:c r="A181" s="37"/>
      <x:c r="B181" s="37"/>
      <x:c r="C181" s="53"/>
      <x:c r="D181" s="37"/>
      <x:c r="E181" s="37"/>
      <x:c r="F181" s="37"/>
      <x:c r="G181" s="37"/>
      <x:c r="H181" s="37"/>
      <x:c r="I181" s="37"/>
      <x:c r="J181" s="37"/>
      <x:c r="K181" s="37"/>
      <x:c r="L181" s="37" t="str">
        <x:f>IF(K181="","",IF(K181&gt;=80,"Critical",IF(K181&gt;=60,"High",IF(K181&gt;=35,"Medium","Low"))))</x:f>
      </x:c>
      <x:c r="M181" s="37" t="str">
        <x:f>IF(L181="","",IF(AND(OR(G181="Outsourced labor supplier",G181="Long-term service supplier"),H181&lt;&gt;"Valid 2026 certificate"),"Obtain valid MoHRE certificate before deployment or renewal",IF(OR(L181="Critical",L181="High"),"Prioritize in sample and validate remediation","Standard monitoring")))</x:f>
      </x:c>
    </x:row>
    <x:row r="182">
      <x:c r="A182" s="37"/>
      <x:c r="B182" s="37"/>
      <x:c r="C182" s="53"/>
      <x:c r="D182" s="37"/>
      <x:c r="E182" s="37"/>
      <x:c r="F182" s="37"/>
      <x:c r="G182" s="37"/>
      <x:c r="H182" s="37"/>
      <x:c r="I182" s="37"/>
      <x:c r="J182" s="37"/>
      <x:c r="K182" s="37"/>
      <x:c r="L182" s="37" t="str">
        <x:f>IF(K182="","",IF(K182&gt;=80,"Critical",IF(K182&gt;=60,"High",IF(K182&gt;=35,"Medium","Low"))))</x:f>
      </x:c>
      <x:c r="M182" s="37" t="str">
        <x:f>IF(L182="","",IF(AND(OR(G182="Outsourced labor supplier",G182="Long-term service supplier"),H182&lt;&gt;"Valid 2026 certificate"),"Obtain valid MoHRE certificate before deployment or renewal",IF(OR(L182="Critical",L182="High"),"Prioritize in sample and validate remediation","Standard monitoring")))</x:f>
      </x:c>
    </x:row>
    <x:row r="183">
      <x:c r="A183" s="37"/>
      <x:c r="B183" s="37"/>
      <x:c r="C183" s="53"/>
      <x:c r="D183" s="37"/>
      <x:c r="E183" s="37"/>
      <x:c r="F183" s="37"/>
      <x:c r="G183" s="37"/>
      <x:c r="H183" s="37"/>
      <x:c r="I183" s="37"/>
      <x:c r="J183" s="37"/>
      <x:c r="K183" s="37"/>
      <x:c r="L183" s="37" t="str">
        <x:f>IF(K183="","",IF(K183&gt;=80,"Critical",IF(K183&gt;=60,"High",IF(K183&gt;=35,"Medium","Low"))))</x:f>
      </x:c>
      <x:c r="M183" s="37" t="str">
        <x:f>IF(L183="","",IF(AND(OR(G183="Outsourced labor supplier",G183="Long-term service supplier"),H183&lt;&gt;"Valid 2026 certificate"),"Obtain valid MoHRE certificate before deployment or renewal",IF(OR(L183="Critical",L183="High"),"Prioritize in sample and validate remediation","Standard monitoring")))</x:f>
      </x:c>
    </x:row>
    <x:row r="184">
      <x:c r="A184" s="37"/>
      <x:c r="B184" s="37"/>
      <x:c r="C184" s="53"/>
      <x:c r="D184" s="37"/>
      <x:c r="E184" s="37"/>
      <x:c r="F184" s="37"/>
      <x:c r="G184" s="37"/>
      <x:c r="H184" s="37"/>
      <x:c r="I184" s="37"/>
      <x:c r="J184" s="37"/>
      <x:c r="K184" s="37"/>
      <x:c r="L184" s="37" t="str">
        <x:f>IF(K184="","",IF(K184&gt;=80,"Critical",IF(K184&gt;=60,"High",IF(K184&gt;=35,"Medium","Low"))))</x:f>
      </x:c>
      <x:c r="M184" s="37" t="str">
        <x:f>IF(L184="","",IF(AND(OR(G184="Outsourced labor supplier",G184="Long-term service supplier"),H184&lt;&gt;"Valid 2026 certificate"),"Obtain valid MoHRE certificate before deployment or renewal",IF(OR(L184="Critical",L184="High"),"Prioritize in sample and validate remediation","Standard monitoring")))</x:f>
      </x:c>
    </x:row>
    <x:row r="185">
      <x:c r="A185" s="37"/>
      <x:c r="B185" s="37"/>
      <x:c r="C185" s="53"/>
      <x:c r="D185" s="37"/>
      <x:c r="E185" s="37"/>
      <x:c r="F185" s="37"/>
      <x:c r="G185" s="37"/>
      <x:c r="H185" s="37"/>
      <x:c r="I185" s="37"/>
      <x:c r="J185" s="37"/>
      <x:c r="K185" s="37"/>
      <x:c r="L185" s="37" t="str">
        <x:f>IF(K185="","",IF(K185&gt;=80,"Critical",IF(K185&gt;=60,"High",IF(K185&gt;=35,"Medium","Low"))))</x:f>
      </x:c>
      <x:c r="M185" s="37" t="str">
        <x:f>IF(L185="","",IF(AND(OR(G185="Outsourced labor supplier",G185="Long-term service supplier"),H185&lt;&gt;"Valid 2026 certificate"),"Obtain valid MoHRE certificate before deployment or renewal",IF(OR(L185="Critical",L185="High"),"Prioritize in sample and validate remediation","Standard monitoring")))</x:f>
      </x:c>
    </x:row>
    <x:row r="186">
      <x:c r="A186" s="37"/>
      <x:c r="B186" s="37"/>
      <x:c r="C186" s="53"/>
      <x:c r="D186" s="37"/>
      <x:c r="E186" s="37"/>
      <x:c r="F186" s="37"/>
      <x:c r="G186" s="37"/>
      <x:c r="H186" s="37"/>
      <x:c r="I186" s="37"/>
      <x:c r="J186" s="37"/>
      <x:c r="K186" s="37"/>
      <x:c r="L186" s="37" t="str">
        <x:f>IF(K186="","",IF(K186&gt;=80,"Critical",IF(K186&gt;=60,"High",IF(K186&gt;=35,"Medium","Low"))))</x:f>
      </x:c>
      <x:c r="M186" s="37" t="str">
        <x:f>IF(L186="","",IF(AND(OR(G186="Outsourced labor supplier",G186="Long-term service supplier"),H186&lt;&gt;"Valid 2026 certificate"),"Obtain valid MoHRE certificate before deployment or renewal",IF(OR(L186="Critical",L186="High"),"Prioritize in sample and validate remediation","Standard monitoring")))</x:f>
      </x:c>
    </x:row>
    <x:row r="187">
      <x:c r="A187" s="37"/>
      <x:c r="B187" s="37"/>
      <x:c r="C187" s="53"/>
      <x:c r="D187" s="37"/>
      <x:c r="E187" s="37"/>
      <x:c r="F187" s="37"/>
      <x:c r="G187" s="37"/>
      <x:c r="H187" s="37"/>
      <x:c r="I187" s="37"/>
      <x:c r="J187" s="37"/>
      <x:c r="K187" s="37"/>
      <x:c r="L187" s="37" t="str">
        <x:f>IF(K187="","",IF(K187&gt;=80,"Critical",IF(K187&gt;=60,"High",IF(K187&gt;=35,"Medium","Low"))))</x:f>
      </x:c>
      <x:c r="M187" s="37" t="str">
        <x:f>IF(L187="","",IF(AND(OR(G187="Outsourced labor supplier",G187="Long-term service supplier"),H187&lt;&gt;"Valid 2026 certificate"),"Obtain valid MoHRE certificate before deployment or renewal",IF(OR(L187="Critical",L187="High"),"Prioritize in sample and validate remediation","Standard monitoring")))</x:f>
      </x:c>
    </x:row>
    <x:row r="188">
      <x:c r="A188" s="37"/>
      <x:c r="B188" s="37"/>
      <x:c r="C188" s="53"/>
      <x:c r="D188" s="37"/>
      <x:c r="E188" s="37"/>
      <x:c r="F188" s="37"/>
      <x:c r="G188" s="37"/>
      <x:c r="H188" s="37"/>
      <x:c r="I188" s="37"/>
      <x:c r="J188" s="37"/>
      <x:c r="K188" s="37"/>
      <x:c r="L188" s="37" t="str">
        <x:f>IF(K188="","",IF(K188&gt;=80,"Critical",IF(K188&gt;=60,"High",IF(K188&gt;=35,"Medium","Low"))))</x:f>
      </x:c>
      <x:c r="M188" s="37" t="str">
        <x:f>IF(L188="","",IF(AND(OR(G188="Outsourced labor supplier",G188="Long-term service supplier"),H188&lt;&gt;"Valid 2026 certificate"),"Obtain valid MoHRE certificate before deployment or renewal",IF(OR(L188="Critical",L188="High"),"Prioritize in sample and validate remediation","Standard monitoring")))</x:f>
      </x:c>
    </x:row>
    <x:row r="189">
      <x:c r="A189" s="37"/>
      <x:c r="B189" s="37"/>
      <x:c r="C189" s="53"/>
      <x:c r="D189" s="37"/>
      <x:c r="E189" s="37"/>
      <x:c r="F189" s="37"/>
      <x:c r="G189" s="37"/>
      <x:c r="H189" s="37"/>
      <x:c r="I189" s="37"/>
      <x:c r="J189" s="37"/>
      <x:c r="K189" s="37"/>
      <x:c r="L189" s="37" t="str">
        <x:f>IF(K189="","",IF(K189&gt;=80,"Critical",IF(K189&gt;=60,"High",IF(K189&gt;=35,"Medium","Low"))))</x:f>
      </x:c>
      <x:c r="M189" s="37" t="str">
        <x:f>IF(L189="","",IF(AND(OR(G189="Outsourced labor supplier",G189="Long-term service supplier"),H189&lt;&gt;"Valid 2026 certificate"),"Obtain valid MoHRE certificate before deployment or renewal",IF(OR(L189="Critical",L189="High"),"Prioritize in sample and validate remediation","Standard monitoring")))</x:f>
      </x:c>
    </x:row>
    <x:row r="190">
      <x:c r="A190" s="37"/>
      <x:c r="B190" s="37"/>
      <x:c r="C190" s="53"/>
      <x:c r="D190" s="37"/>
      <x:c r="E190" s="37"/>
      <x:c r="F190" s="37"/>
      <x:c r="G190" s="37"/>
      <x:c r="H190" s="37"/>
      <x:c r="I190" s="37"/>
      <x:c r="J190" s="37"/>
      <x:c r="K190" s="37"/>
      <x:c r="L190" s="37" t="str">
        <x:f>IF(K190="","",IF(K190&gt;=80,"Critical",IF(K190&gt;=60,"High",IF(K190&gt;=35,"Medium","Low"))))</x:f>
      </x:c>
      <x:c r="M190" s="37" t="str">
        <x:f>IF(L190="","",IF(AND(OR(G190="Outsourced labor supplier",G190="Long-term service supplier"),H190&lt;&gt;"Valid 2026 certificate"),"Obtain valid MoHRE certificate before deployment or renewal",IF(OR(L190="Critical",L190="High"),"Prioritize in sample and validate remediation","Standard monitoring")))</x:f>
      </x:c>
    </x:row>
    <x:row r="191">
      <x:c r="A191" s="37"/>
      <x:c r="B191" s="37"/>
      <x:c r="C191" s="53"/>
      <x:c r="D191" s="37"/>
      <x:c r="E191" s="37"/>
      <x:c r="F191" s="37"/>
      <x:c r="G191" s="37"/>
      <x:c r="H191" s="37"/>
      <x:c r="I191" s="37"/>
      <x:c r="J191" s="37"/>
      <x:c r="K191" s="37"/>
      <x:c r="L191" s="37" t="str">
        <x:f>IF(K191="","",IF(K191&gt;=80,"Critical",IF(K191&gt;=60,"High",IF(K191&gt;=35,"Medium","Low"))))</x:f>
      </x:c>
      <x:c r="M191" s="37" t="str">
        <x:f>IF(L191="","",IF(AND(OR(G191="Outsourced labor supplier",G191="Long-term service supplier"),H191&lt;&gt;"Valid 2026 certificate"),"Obtain valid MoHRE certificate before deployment or renewal",IF(OR(L191="Critical",L191="High"),"Prioritize in sample and validate remediation","Standard monitoring")))</x:f>
      </x:c>
    </x:row>
    <x:row r="192">
      <x:c r="A192" s="37"/>
      <x:c r="B192" s="37"/>
      <x:c r="C192" s="53"/>
      <x:c r="D192" s="37"/>
      <x:c r="E192" s="37"/>
      <x:c r="F192" s="37"/>
      <x:c r="G192" s="37"/>
      <x:c r="H192" s="37"/>
      <x:c r="I192" s="37"/>
      <x:c r="J192" s="37"/>
      <x:c r="K192" s="37"/>
      <x:c r="L192" s="37" t="str">
        <x:f>IF(K192="","",IF(K192&gt;=80,"Critical",IF(K192&gt;=60,"High",IF(K192&gt;=35,"Medium","Low"))))</x:f>
      </x:c>
      <x:c r="M192" s="37" t="str">
        <x:f>IF(L192="","",IF(AND(OR(G192="Outsourced labor supplier",G192="Long-term service supplier"),H192&lt;&gt;"Valid 2026 certificate"),"Obtain valid MoHRE certificate before deployment or renewal",IF(OR(L192="Critical",L192="High"),"Prioritize in sample and validate remediation","Standard monitoring")))</x:f>
      </x:c>
    </x:row>
    <x:row r="193">
      <x:c r="A193" s="37"/>
      <x:c r="B193" s="37"/>
      <x:c r="C193" s="53"/>
      <x:c r="D193" s="37"/>
      <x:c r="E193" s="37"/>
      <x:c r="F193" s="37"/>
      <x:c r="G193" s="37"/>
      <x:c r="H193" s="37"/>
      <x:c r="I193" s="37"/>
      <x:c r="J193" s="37"/>
      <x:c r="K193" s="37"/>
      <x:c r="L193" s="37" t="str">
        <x:f>IF(K193="","",IF(K193&gt;=80,"Critical",IF(K193&gt;=60,"High",IF(K193&gt;=35,"Medium","Low"))))</x:f>
      </x:c>
      <x:c r="M193" s="37" t="str">
        <x:f>IF(L193="","",IF(AND(OR(G193="Outsourced labor supplier",G193="Long-term service supplier"),H193&lt;&gt;"Valid 2026 certificate"),"Obtain valid MoHRE certificate before deployment or renewal",IF(OR(L193="Critical",L193="High"),"Prioritize in sample and validate remediation","Standard monitoring")))</x:f>
      </x:c>
    </x:row>
    <x:row r="194">
      <x:c r="A194" s="37"/>
      <x:c r="B194" s="37"/>
      <x:c r="C194" s="53"/>
      <x:c r="D194" s="37"/>
      <x:c r="E194" s="37"/>
      <x:c r="F194" s="37"/>
      <x:c r="G194" s="37"/>
      <x:c r="H194" s="37"/>
      <x:c r="I194" s="37"/>
      <x:c r="J194" s="37"/>
      <x:c r="K194" s="37"/>
      <x:c r="L194" s="37" t="str">
        <x:f>IF(K194="","",IF(K194&gt;=80,"Critical",IF(K194&gt;=60,"High",IF(K194&gt;=35,"Medium","Low"))))</x:f>
      </x:c>
      <x:c r="M194" s="37" t="str">
        <x:f>IF(L194="","",IF(AND(OR(G194="Outsourced labor supplier",G194="Long-term service supplier"),H194&lt;&gt;"Valid 2026 certificate"),"Obtain valid MoHRE certificate before deployment or renewal",IF(OR(L194="Critical",L194="High"),"Prioritize in sample and validate remediation","Standard monitoring")))</x:f>
      </x:c>
    </x:row>
    <x:row r="195">
      <x:c r="A195" s="37"/>
      <x:c r="B195" s="37"/>
      <x:c r="C195" s="53"/>
      <x:c r="D195" s="37"/>
      <x:c r="E195" s="37"/>
      <x:c r="F195" s="37"/>
      <x:c r="G195" s="37"/>
      <x:c r="H195" s="37"/>
      <x:c r="I195" s="37"/>
      <x:c r="J195" s="37"/>
      <x:c r="K195" s="37"/>
      <x:c r="L195" s="37" t="str">
        <x:f>IF(K195="","",IF(K195&gt;=80,"Critical",IF(K195&gt;=60,"High",IF(K195&gt;=35,"Medium","Low"))))</x:f>
      </x:c>
      <x:c r="M195" s="37" t="str">
        <x:f>IF(L195="","",IF(AND(OR(G195="Outsourced labor supplier",G195="Long-term service supplier"),H195&lt;&gt;"Valid 2026 certificate"),"Obtain valid MoHRE certificate before deployment or renewal",IF(OR(L195="Critical",L195="High"),"Prioritize in sample and validate remediation","Standard monitoring")))</x:f>
      </x:c>
    </x:row>
    <x:row r="196">
      <x:c r="A196" s="37"/>
      <x:c r="B196" s="37"/>
      <x:c r="C196" s="53"/>
      <x:c r="D196" s="37"/>
      <x:c r="E196" s="37"/>
      <x:c r="F196" s="37"/>
      <x:c r="G196" s="37"/>
      <x:c r="H196" s="37"/>
      <x:c r="I196" s="37"/>
      <x:c r="J196" s="37"/>
      <x:c r="K196" s="37"/>
      <x:c r="L196" s="37" t="str">
        <x:f>IF(K196="","",IF(K196&gt;=80,"Critical",IF(K196&gt;=60,"High",IF(K196&gt;=35,"Medium","Low"))))</x:f>
      </x:c>
      <x:c r="M196" s="37" t="str">
        <x:f>IF(L196="","",IF(AND(OR(G196="Outsourced labor supplier",G196="Long-term service supplier"),H196&lt;&gt;"Valid 2026 certificate"),"Obtain valid MoHRE certificate before deployment or renewal",IF(OR(L196="Critical",L196="High"),"Prioritize in sample and validate remediation","Standard monitoring")))</x:f>
      </x:c>
    </x:row>
    <x:row r="197">
      <x:c r="A197" s="37"/>
      <x:c r="B197" s="37"/>
      <x:c r="C197" s="53"/>
      <x:c r="D197" s="37"/>
      <x:c r="E197" s="37"/>
      <x:c r="F197" s="37"/>
      <x:c r="G197" s="37"/>
      <x:c r="H197" s="37"/>
      <x:c r="I197" s="37"/>
      <x:c r="J197" s="37"/>
      <x:c r="K197" s="37"/>
      <x:c r="L197" s="37" t="str">
        <x:f>IF(K197="","",IF(K197&gt;=80,"Critical",IF(K197&gt;=60,"High",IF(K197&gt;=35,"Medium","Low"))))</x:f>
      </x:c>
      <x:c r="M197" s="37" t="str">
        <x:f>IF(L197="","",IF(AND(OR(G197="Outsourced labor supplier",G197="Long-term service supplier"),H197&lt;&gt;"Valid 2026 certificate"),"Obtain valid MoHRE certificate before deployment or renewal",IF(OR(L197="Critical",L197="High"),"Prioritize in sample and validate remediation","Standard monitoring")))</x:f>
      </x:c>
    </x:row>
    <x:row r="198">
      <x:c r="A198" s="37"/>
      <x:c r="B198" s="37"/>
      <x:c r="C198" s="53"/>
      <x:c r="D198" s="37"/>
      <x:c r="E198" s="37"/>
      <x:c r="F198" s="37"/>
      <x:c r="G198" s="37"/>
      <x:c r="H198" s="37"/>
      <x:c r="I198" s="37"/>
      <x:c r="J198" s="37"/>
      <x:c r="K198" s="37"/>
      <x:c r="L198" s="37" t="str">
        <x:f>IF(K198="","",IF(K198&gt;=80,"Critical",IF(K198&gt;=60,"High",IF(K198&gt;=35,"Medium","Low"))))</x:f>
      </x:c>
      <x:c r="M198" s="37" t="str">
        <x:f>IF(L198="","",IF(AND(OR(G198="Outsourced labor supplier",G198="Long-term service supplier"),H198&lt;&gt;"Valid 2026 certificate"),"Obtain valid MoHRE certificate before deployment or renewal",IF(OR(L198="Critical",L198="High"),"Prioritize in sample and validate remediation","Standard monitoring")))</x:f>
      </x:c>
    </x:row>
    <x:row r="199">
      <x:c r="A199" s="37"/>
      <x:c r="B199" s="37"/>
      <x:c r="C199" s="53"/>
      <x:c r="D199" s="37"/>
      <x:c r="E199" s="37"/>
      <x:c r="F199" s="37"/>
      <x:c r="G199" s="37"/>
      <x:c r="H199" s="37"/>
      <x:c r="I199" s="37"/>
      <x:c r="J199" s="37"/>
      <x:c r="K199" s="37"/>
      <x:c r="L199" s="37" t="str">
        <x:f>IF(K199="","",IF(K199&gt;=80,"Critical",IF(K199&gt;=60,"High",IF(K199&gt;=35,"Medium","Low"))))</x:f>
      </x:c>
      <x:c r="M199" s="37" t="str">
        <x:f>IF(L199="","",IF(AND(OR(G199="Outsourced labor supplier",G199="Long-term service supplier"),H199&lt;&gt;"Valid 2026 certificate"),"Obtain valid MoHRE certificate before deployment or renewal",IF(OR(L199="Critical",L199="High"),"Prioritize in sample and validate remediation","Standard monitoring")))</x:f>
      </x:c>
    </x:row>
    <x:row r="200">
      <x:c r="A200" s="37"/>
      <x:c r="B200" s="37"/>
      <x:c r="C200" s="53"/>
      <x:c r="D200" s="37"/>
      <x:c r="E200" s="37"/>
      <x:c r="F200" s="37"/>
      <x:c r="G200" s="37"/>
      <x:c r="H200" s="37"/>
      <x:c r="I200" s="37"/>
      <x:c r="J200" s="37"/>
      <x:c r="K200" s="37"/>
      <x:c r="L200" s="37" t="str">
        <x:f>IF(K200="","",IF(K200&gt;=80,"Critical",IF(K200&gt;=60,"High",IF(K200&gt;=35,"Medium","Low"))))</x:f>
      </x:c>
      <x:c r="M200" s="37" t="str">
        <x:f>IF(L200="","",IF(AND(OR(G200="Outsourced labor supplier",G200="Long-term service supplier"),H200&lt;&gt;"Valid 2026 certificate"),"Obtain valid MoHRE certificate before deployment or renewal",IF(OR(L200="Critical",L200="High"),"Prioritize in sample and validate remediation","Standard monitoring")))</x:f>
      </x:c>
    </x:row>
    <x:row r="201">
      <x:c r="A201" s="37"/>
      <x:c r="B201" s="37"/>
      <x:c r="C201" s="53"/>
      <x:c r="D201" s="37"/>
      <x:c r="E201" s="37"/>
      <x:c r="F201" s="37"/>
      <x:c r="G201" s="37"/>
      <x:c r="H201" s="37"/>
      <x:c r="I201" s="37"/>
      <x:c r="J201" s="37"/>
      <x:c r="K201" s="37"/>
      <x:c r="L201" s="37" t="str">
        <x:f>IF(K201="","",IF(K201&gt;=80,"Critical",IF(K201&gt;=60,"High",IF(K201&gt;=35,"Medium","Low"))))</x:f>
      </x:c>
      <x:c r="M201" s="37" t="str">
        <x:f>IF(L201="","",IF(AND(OR(G201="Outsourced labor supplier",G201="Long-term service supplier"),H201&lt;&gt;"Valid 2026 certificate"),"Obtain valid MoHRE certificate before deployment or renewal",IF(OR(L201="Critical",L201="High"),"Prioritize in sample and validate remediation","Standard monitoring")))</x:f>
      </x:c>
    </x:row>
    <x:row r="202">
      <x:c r="A202" s="37"/>
      <x:c r="B202" s="37"/>
      <x:c r="C202" s="53"/>
      <x:c r="D202" s="37"/>
      <x:c r="E202" s="37"/>
      <x:c r="F202" s="37"/>
      <x:c r="G202" s="37"/>
      <x:c r="H202" s="37"/>
      <x:c r="I202" s="37"/>
      <x:c r="J202" s="37"/>
      <x:c r="K202" s="37"/>
      <x:c r="L202" s="37" t="str">
        <x:f>IF(K202="","",IF(K202&gt;=80,"Critical",IF(K202&gt;=60,"High",IF(K202&gt;=35,"Medium","Low"))))</x:f>
      </x:c>
      <x:c r="M202" s="37" t="str">
        <x:f>IF(L202="","",IF(AND(OR(G202="Outsourced labor supplier",G202="Long-term service supplier"),H202&lt;&gt;"Valid 2026 certificate"),"Obtain valid MoHRE certificate before deployment or renewal",IF(OR(L202="Critical",L202="High"),"Prioritize in sample and validate remediation","Standard monitoring")))</x:f>
      </x:c>
    </x:row>
    <x:row r="203">
      <x:c r="A203" s="37"/>
      <x:c r="B203" s="37"/>
      <x:c r="C203" s="53"/>
      <x:c r="D203" s="37"/>
      <x:c r="E203" s="37"/>
      <x:c r="F203" s="37"/>
      <x:c r="G203" s="37"/>
      <x:c r="H203" s="37"/>
      <x:c r="I203" s="37"/>
      <x:c r="J203" s="37"/>
      <x:c r="K203" s="37"/>
      <x:c r="L203" s="37" t="str">
        <x:f>IF(K203="","",IF(K203&gt;=80,"Critical",IF(K203&gt;=60,"High",IF(K203&gt;=35,"Medium","Low"))))</x:f>
      </x:c>
      <x:c r="M203" s="37" t="str">
        <x:f>IF(L203="","",IF(AND(OR(G203="Outsourced labor supplier",G203="Long-term service supplier"),H203&lt;&gt;"Valid 2026 certificate"),"Obtain valid MoHRE certificate before deployment or renewal",IF(OR(L203="Critical",L203="High"),"Prioritize in sample and validate remediation","Standard monitoring")))</x:f>
      </x:c>
    </x:row>
    <x:row r="204">
      <x:c r="A204" s="37"/>
      <x:c r="B204" s="37"/>
      <x:c r="C204" s="53"/>
      <x:c r="D204" s="37"/>
      <x:c r="E204" s="37"/>
      <x:c r="F204" s="37"/>
      <x:c r="G204" s="37"/>
      <x:c r="H204" s="37"/>
      <x:c r="I204" s="37"/>
      <x:c r="J204" s="37"/>
      <x:c r="K204" s="37"/>
      <x:c r="L204" s="37" t="str">
        <x:f>IF(K204="","",IF(K204&gt;=80,"Critical",IF(K204&gt;=60,"High",IF(K204&gt;=35,"Medium","Low"))))</x:f>
      </x:c>
      <x:c r="M204" s="37" t="str">
        <x:f>IF(L204="","",IF(AND(OR(G204="Outsourced labor supplier",G204="Long-term service supplier"),H204&lt;&gt;"Valid 2026 certificate"),"Obtain valid MoHRE certificate before deployment or renewal",IF(OR(L204="Critical",L204="High"),"Prioritize in sample and validate remediation","Standard monitoring")))</x:f>
      </x:c>
    </x:row>
    <x:row r="205">
      <x:c r="A205" s="37"/>
      <x:c r="B205" s="37"/>
      <x:c r="C205" s="53"/>
      <x:c r="D205" s="37"/>
      <x:c r="E205" s="37"/>
      <x:c r="F205" s="37"/>
      <x:c r="G205" s="37"/>
      <x:c r="H205" s="37"/>
      <x:c r="I205" s="37"/>
      <x:c r="J205" s="37"/>
      <x:c r="K205" s="37"/>
      <x:c r="L205" s="37" t="str">
        <x:f>IF(K205="","",IF(K205&gt;=80,"Critical",IF(K205&gt;=60,"High",IF(K205&gt;=35,"Medium","Low"))))</x:f>
      </x:c>
      <x:c r="M205" s="37" t="str">
        <x:f>IF(L205="","",IF(AND(OR(G205="Outsourced labor supplier",G205="Long-term service supplier"),H205&lt;&gt;"Valid 2026 certificate"),"Obtain valid MoHRE certificate before deployment or renewal",IF(OR(L205="Critical",L205="High"),"Prioritize in sample and validate remediation","Standard monitoring")))</x:f>
      </x:c>
    </x:row>
  </x:sheetData>
  <x:mergeCells>
    <x:mergeCell ref="A1:M1"/>
  </x:mergeCells>
  <x:dataValidations count="7">
    <x:dataValidation type="list" sqref="D6:D205">
      <x:formula1>"Low,Medium,High"</x:formula1>
    </x:dataValidation>
    <x:dataValidation type="list" sqref="E6:E205">
      <x:formula1>"New,Existing"</x:formula1>
    </x:dataValidation>
    <x:dataValidation type="list" sqref="F6:F205">
      <x:formula1>"Yes,No"</x:formula1>
    </x:dataValidation>
    <x:dataValidation type="list" sqref="G6:G205">
      <x:formula1>"Outsourced labor supplier,Long-term service supplier,Not applicable"</x:formula1>
    </x:dataValidation>
    <x:dataValidation type="list" sqref="H6:H205">
      <x:formula1>"Valid 2026 certificate,Expired,Missing,N/A"</x:formula1>
    </x:dataValidation>
    <x:dataValidation type="list" sqref="I6:I205">
      <x:formula1>"Not Started,Update Needed,Complete,N/A"</x:formula1>
    </x:dataValidation>
    <x:dataValidation type="list" sqref="J6:J205">
      <x:formula1>"Draft,Active,Expired,N/A"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c57f5d8ad4b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0.6299991607666" hidden="0" customWidth="1"/>
    <x:col min="3" max="3" width="27.5" hidden="0" customWidth="1"/>
    <x:col min="4" max="4" width="27.5" hidden="0" customWidth="1"/>
    <x:col min="5" max="5" width="13.75" hidden="0" customWidth="1"/>
    <x:col min="6" max="6" width="28.75" hidden="0" customWidth="1"/>
  </x:cols>
  <x:sheetData>
    <x:row r="1" ht="25.5" customHeight="1">
      <x:c r="A1" s="54" t="str">
        <x:v>Instructions and Data Dictionary</x:v>
      </x:c>
      <x:c r="B1" s="33"/>
      <x:c r="C1" s="33"/>
      <x:c r="D1" s="33"/>
      <x:c r="E1" s="33"/>
      <x:c r="F1" s="33"/>
    </x:row>
    <x:row r="2">
      <x:c r="A2" s="34"/>
      <x:c r="B2" s="34"/>
      <x:c r="C2" s="34"/>
      <x:c r="D2" s="34"/>
      <x:c r="E2" s="34"/>
      <x:c r="F2" s="34"/>
    </x:row>
    <x:row r="3">
      <x:c r="A3" s="36" t="str">
        <x:v>Sheet</x:v>
      </x:c>
      <x:c r="B3" s="36" t="str">
        <x:v>Purpose</x:v>
      </x:c>
      <x:c r="C3" s="36" t="str">
        <x:v>Primary Inputs</x:v>
      </x:c>
      <x:c r="D3" s="36" t="str">
        <x:v>Key Outputs</x:v>
      </x:c>
      <x:c r="E3" s="36" t="str">
        <x:v>Owner</x:v>
      </x:c>
      <x:c r="F3" s="36" t="str">
        <x:v>Review Point</x:v>
      </x:c>
    </x:row>
    <x:row r="4">
      <x:c r="A4" s="37" t="str">
        <x:v>Dashboard</x:v>
      </x:c>
      <x:c r="B4" s="37" t="str">
        <x:v>Summarizes test progress, exceptions, and open findings.</x:v>
      </x:c>
      <x:c r="C4" s="37" t="str">
        <x:v>None directly; pulls from other sheets.</x:v>
      </x:c>
      <x:c r="D4" s="37" t="str">
        <x:v>Audit status metrics and coverage table.</x:v>
      </x:c>
      <x:c r="E4" s="37" t="str">
        <x:v>Audit lead</x:v>
      </x:c>
      <x:c r="F4" s="37" t="str">
        <x:v>Verify formulas reconcile to source tabs.</x:v>
      </x:c>
    </x:row>
    <x:row r="5">
      <x:c r="A5" s="37" t="str">
        <x:v>Audit Program</x:v>
      </x:c>
      <x:c r="B5" s="37" t="str">
        <x:v>Defines audit objectives, risks, procedures, evidence, and status.</x:v>
      </x:c>
      <x:c r="C5" s="37" t="str">
        <x:v>Scope decisions, procedures, reviewer assignments.</x:v>
      </x:c>
      <x:c r="D5" s="37" t="str">
        <x:v>Approved audit work program.</x:v>
      </x:c>
      <x:c r="E5" s="37" t="str">
        <x:v>Audit manager</x:v>
      </x:c>
      <x:c r="F5" s="37" t="str">
        <x:v>Confirm procedures cover major procurement risks.</x:v>
      </x:c>
    </x:row>
    <x:row r="6">
      <x:c r="A6" s="37" t="str">
        <x:v>Population Sample</x:v>
      </x:c>
      <x:c r="B6" s="37" t="str">
        <x:v>Stores transaction population and identifies selected sample.</x:v>
      </x:c>
      <x:c r="C6" s="37" t="str">
        <x:v>Transaction records, risk tier, sample flag.</x:v>
      </x:c>
      <x:c r="D6" s="37" t="str">
        <x:v>Sample support for testing.</x:v>
      </x:c>
      <x:c r="E6" s="37" t="str">
        <x:v>Audit staff</x:v>
      </x:c>
      <x:c r="F6" s="37" t="str">
        <x:v>Confirm population completeness and sampling rationale.</x:v>
      </x:c>
    </x:row>
    <x:row r="7">
      <x:c r="A7" s="37" t="str">
        <x:v>Control Testing</x:v>
      </x:c>
      <x:c r="B7" s="37" t="str">
        <x:v>Documents test attributes, evidence, result, and exception linkage.</x:v>
      </x:c>
      <x:c r="C7" s="37" t="str">
        <x:v>Test evidence, result, finding references.</x:v>
      </x:c>
      <x:c r="D7" s="37" t="str">
        <x:v>Pass/fail evidence for controls.</x:v>
      </x:c>
      <x:c r="E7" s="37" t="str">
        <x:v>Audit staff</x:v>
      </x:c>
      <x:c r="F7" s="37" t="str">
        <x:v>Every fail should link to a finding or documented rationale.</x:v>
      </x:c>
    </x:row>
    <x:row r="8">
      <x:c r="A8" s="37" t="str">
        <x:v>Findings Register</x:v>
      </x:c>
      <x:c r="B8" s="37" t="str">
        <x:v>Tracks exceptions, root cause, recommendation, owner, due date, and closure.</x:v>
      </x:c>
      <x:c r="C8" s="37" t="str">
        <x:v>Finding details and management action plan.</x:v>
      </x:c>
      <x:c r="D8" s="37" t="str">
        <x:v>Open issue tracker and closure record.</x:v>
      </x:c>
      <x:c r="E8" s="37" t="str">
        <x:v>Audit lead</x:v>
      </x:c>
      <x:c r="F8" s="37" t="str">
        <x:v>Severity and status should be current before reporting.</x:v>
      </x:c>
    </x:row>
    <x:row r="9">
      <x:c r="A9" s="37" t="str">
        <x:v>Evidence Log</x:v>
      </x:c>
      <x:c r="B9" s="37" t="str">
        <x:v>Indexes supporting documents and retention status.</x:v>
      </x:c>
      <x:c r="C9" s="37" t="str">
        <x:v>Evidence references, source, period, assertion, status.</x:v>
      </x:c>
      <x:c r="D9" s="37" t="str">
        <x:v>Traceable audit evidence inventory.</x:v>
      </x:c>
      <x:c r="E9" s="37" t="str">
        <x:v>Audit staff</x:v>
      </x:c>
      <x:c r="F9" s="37" t="str">
        <x:v>Every test should have a valid evidence reference.</x:v>
      </x:c>
    </x:row>
    <x:row r="10">
      <x:c r="A10" s="37" t="str">
        <x:v>Vendor Risk</x:v>
      </x:c>
      <x:c r="B10" s="37" t="str">
        <x:v>Ranks vendors and helps focus procedures, including MoHRE certificate checks for outsourced labor and long-term service suppliers.</x:v>
      </x:c>
      <x:c r="C10" s="37" t="str">
        <x:v>Spend, criticality, supplier type, MoHRE certificate status, due diligence, contract status, score.</x:v>
      </x:c>
      <x:c r="D10" s="37" t="str">
        <x:v>Vendor risk tier and audit response.</x:v>
      </x:c>
      <x:c r="E10" s="37" t="str">
        <x:v>Procurement / audit</x:v>
      </x:c>
      <x:c r="F10" s="37" t="str">
        <x:v>High and critical vendors should be represented in sample.</x:v>
      </x:c>
    </x:row>
    <x:row r="11">
      <x:c r="A11" s="37"/>
      <x:c r="B11" s="37"/>
      <x:c r="C11" s="37"/>
      <x:c r="D11" s="37"/>
      <x:c r="E11" s="37"/>
      <x:c r="F11" s="37"/>
    </x:row>
    <x:row r="12">
      <x:c r="A12" s="37"/>
      <x:c r="B12" s="37"/>
      <x:c r="C12" s="37"/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  <x:row r="14">
      <x:c r="A14" s="37"/>
      <x:c r="B14" s="37"/>
      <x:c r="C14" s="37"/>
      <x:c r="D14" s="37"/>
      <x:c r="E14" s="37"/>
      <x:c r="F14" s="37"/>
    </x:row>
    <x:row r="15">
      <x:c r="A15" s="37"/>
      <x:c r="B15" s="37"/>
      <x:c r="C15" s="37"/>
      <x:c r="D15" s="37"/>
      <x:c r="E15" s="37"/>
      <x:c r="F15" s="37"/>
    </x:row>
    <x:row r="16">
      <x:c r="A16" s="37"/>
      <x:c r="B16" s="37"/>
      <x:c r="C16" s="37"/>
      <x:c r="D16" s="37"/>
      <x:c r="E16" s="37"/>
      <x:c r="F16" s="37"/>
    </x:row>
    <x:row r="17">
      <x:c r="A17" s="37"/>
      <x:c r="B17" s="37"/>
      <x:c r="C17" s="37"/>
      <x:c r="D17" s="37"/>
      <x:c r="E17" s="37"/>
      <x:c r="F17" s="37"/>
    </x:row>
    <x:row r="18">
      <x:c r="A18" s="37"/>
      <x:c r="B18" s="37"/>
      <x:c r="C18" s="37"/>
      <x:c r="D18" s="37"/>
      <x:c r="E18" s="37"/>
      <x:c r="F18" s="37"/>
    </x:row>
    <x:row r="19">
      <x:c r="A19" s="37"/>
      <x:c r="B19" s="37"/>
      <x:c r="C19" s="37"/>
      <x:c r="D19" s="37"/>
      <x:c r="E19" s="37"/>
      <x:c r="F19" s="37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</x:sheetData>
  <x:mergeCells>
    <x:mergeCell ref="A1:F1"/>
  </x:mergeCells>
  <x:pageMargins left="0.7" right="0.7" top="0.75" bottom="0.75" header="0.3" footer="0.3"/>
</x:worksheet>
</file>